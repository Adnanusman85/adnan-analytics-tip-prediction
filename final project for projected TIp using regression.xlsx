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7790192-88EF-4C15-98F4-D21BF2A3E47C}" xr6:coauthVersionLast="47" xr6:coauthVersionMax="47" xr10:uidLastSave="{00000000-0000-0000-0000-000000000000}"/>
  <bookViews>
    <workbookView xWindow="-120" yWindow="-120" windowWidth="20730" windowHeight="11040" xr2:uid="{E39F1B53-3127-4D6C-88BD-079CCE5E8692}"/>
  </bookViews>
  <sheets>
    <sheet name="tips" sheetId="1" r:id="rId1"/>
  </sheets>
  <definedNames>
    <definedName name="_xlnm._FilterDatabase" localSheetId="0" hidden="1">tips!$A$1:$Y$245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7" i="1" l="1"/>
  <c r="M3" i="1"/>
  <c r="N3" i="1" s="1"/>
  <c r="O3" i="1" s="1"/>
  <c r="M4" i="1"/>
  <c r="N4" i="1" s="1"/>
  <c r="O4" i="1" s="1"/>
  <c r="M5" i="1"/>
  <c r="N5" i="1" s="1"/>
  <c r="O5" i="1" s="1"/>
  <c r="M6" i="1"/>
  <c r="N6" i="1" s="1"/>
  <c r="O6" i="1" s="1"/>
  <c r="M7" i="1"/>
  <c r="N7" i="1" s="1"/>
  <c r="O7" i="1" s="1"/>
  <c r="M8" i="1"/>
  <c r="N8" i="1" s="1"/>
  <c r="O8" i="1" s="1"/>
  <c r="M9" i="1"/>
  <c r="N9" i="1" s="1"/>
  <c r="O9" i="1" s="1"/>
  <c r="M10" i="1"/>
  <c r="N10" i="1" s="1"/>
  <c r="O10" i="1" s="1"/>
  <c r="M11" i="1"/>
  <c r="N11" i="1" s="1"/>
  <c r="O11" i="1" s="1"/>
  <c r="M12" i="1"/>
  <c r="N12" i="1" s="1"/>
  <c r="O12" i="1" s="1"/>
  <c r="M13" i="1"/>
  <c r="N13" i="1" s="1"/>
  <c r="O13" i="1" s="1"/>
  <c r="M14" i="1"/>
  <c r="N14" i="1" s="1"/>
  <c r="O14" i="1" s="1"/>
  <c r="M15" i="1"/>
  <c r="N15" i="1" s="1"/>
  <c r="O15" i="1" s="1"/>
  <c r="M16" i="1"/>
  <c r="N16" i="1" s="1"/>
  <c r="O16" i="1" s="1"/>
  <c r="M17" i="1"/>
  <c r="N17" i="1" s="1"/>
  <c r="O17" i="1" s="1"/>
  <c r="M18" i="1"/>
  <c r="N18" i="1" s="1"/>
  <c r="O18" i="1" s="1"/>
  <c r="M19" i="1"/>
  <c r="N19" i="1" s="1"/>
  <c r="O19" i="1" s="1"/>
  <c r="M20" i="1"/>
  <c r="N20" i="1" s="1"/>
  <c r="O20" i="1" s="1"/>
  <c r="M21" i="1"/>
  <c r="N21" i="1" s="1"/>
  <c r="O21" i="1" s="1"/>
  <c r="M22" i="1"/>
  <c r="N22" i="1" s="1"/>
  <c r="O22" i="1" s="1"/>
  <c r="M23" i="1"/>
  <c r="N23" i="1" s="1"/>
  <c r="O23" i="1" s="1"/>
  <c r="M24" i="1"/>
  <c r="N24" i="1" s="1"/>
  <c r="O24" i="1" s="1"/>
  <c r="M25" i="1"/>
  <c r="N25" i="1" s="1"/>
  <c r="O25" i="1" s="1"/>
  <c r="M26" i="1"/>
  <c r="N26" i="1" s="1"/>
  <c r="O26" i="1" s="1"/>
  <c r="M27" i="1"/>
  <c r="N27" i="1" s="1"/>
  <c r="O27" i="1" s="1"/>
  <c r="M28" i="1"/>
  <c r="N28" i="1" s="1"/>
  <c r="O28" i="1" s="1"/>
  <c r="M29" i="1"/>
  <c r="N29" i="1" s="1"/>
  <c r="O29" i="1" s="1"/>
  <c r="M30" i="1"/>
  <c r="N30" i="1" s="1"/>
  <c r="O30" i="1" s="1"/>
  <c r="M31" i="1"/>
  <c r="N31" i="1" s="1"/>
  <c r="O31" i="1" s="1"/>
  <c r="M32" i="1"/>
  <c r="N32" i="1" s="1"/>
  <c r="O32" i="1" s="1"/>
  <c r="M33" i="1"/>
  <c r="N33" i="1" s="1"/>
  <c r="O33" i="1" s="1"/>
  <c r="M34" i="1"/>
  <c r="N34" i="1" s="1"/>
  <c r="O34" i="1" s="1"/>
  <c r="M35" i="1"/>
  <c r="N35" i="1" s="1"/>
  <c r="O35" i="1" s="1"/>
  <c r="M36" i="1"/>
  <c r="N36" i="1" s="1"/>
  <c r="O36" i="1" s="1"/>
  <c r="M37" i="1"/>
  <c r="N37" i="1" s="1"/>
  <c r="O37" i="1" s="1"/>
  <c r="M38" i="1"/>
  <c r="N38" i="1" s="1"/>
  <c r="O38" i="1" s="1"/>
  <c r="M39" i="1"/>
  <c r="N39" i="1" s="1"/>
  <c r="O39" i="1" s="1"/>
  <c r="M40" i="1"/>
  <c r="N40" i="1" s="1"/>
  <c r="O40" i="1" s="1"/>
  <c r="M41" i="1"/>
  <c r="N41" i="1" s="1"/>
  <c r="O41" i="1" s="1"/>
  <c r="M42" i="1"/>
  <c r="N42" i="1" s="1"/>
  <c r="O42" i="1" s="1"/>
  <c r="M43" i="1"/>
  <c r="N43" i="1" s="1"/>
  <c r="O43" i="1" s="1"/>
  <c r="M44" i="1"/>
  <c r="N44" i="1" s="1"/>
  <c r="O44" i="1" s="1"/>
  <c r="M45" i="1"/>
  <c r="N45" i="1" s="1"/>
  <c r="O45" i="1" s="1"/>
  <c r="M46" i="1"/>
  <c r="N46" i="1" s="1"/>
  <c r="O46" i="1" s="1"/>
  <c r="M47" i="1"/>
  <c r="N47" i="1" s="1"/>
  <c r="O47" i="1" s="1"/>
  <c r="M48" i="1"/>
  <c r="N48" i="1" s="1"/>
  <c r="O48" i="1" s="1"/>
  <c r="M49" i="1"/>
  <c r="N49" i="1" s="1"/>
  <c r="O49" i="1" s="1"/>
  <c r="M50" i="1"/>
  <c r="N50" i="1" s="1"/>
  <c r="O50" i="1" s="1"/>
  <c r="M51" i="1"/>
  <c r="N51" i="1" s="1"/>
  <c r="O51" i="1" s="1"/>
  <c r="M52" i="1"/>
  <c r="N52" i="1" s="1"/>
  <c r="O52" i="1" s="1"/>
  <c r="M53" i="1"/>
  <c r="N53" i="1" s="1"/>
  <c r="O53" i="1" s="1"/>
  <c r="M54" i="1"/>
  <c r="N54" i="1" s="1"/>
  <c r="O54" i="1" s="1"/>
  <c r="M55" i="1"/>
  <c r="N55" i="1" s="1"/>
  <c r="O55" i="1" s="1"/>
  <c r="M56" i="1"/>
  <c r="N56" i="1" s="1"/>
  <c r="O56" i="1" s="1"/>
  <c r="M57" i="1"/>
  <c r="N57" i="1" s="1"/>
  <c r="O57" i="1" s="1"/>
  <c r="M58" i="1"/>
  <c r="N58" i="1" s="1"/>
  <c r="O58" i="1" s="1"/>
  <c r="M59" i="1"/>
  <c r="N59" i="1" s="1"/>
  <c r="O59" i="1" s="1"/>
  <c r="M60" i="1"/>
  <c r="N60" i="1" s="1"/>
  <c r="O60" i="1" s="1"/>
  <c r="M61" i="1"/>
  <c r="N61" i="1" s="1"/>
  <c r="O61" i="1" s="1"/>
  <c r="M62" i="1"/>
  <c r="N62" i="1" s="1"/>
  <c r="O62" i="1" s="1"/>
  <c r="M63" i="1"/>
  <c r="N63" i="1" s="1"/>
  <c r="O63" i="1" s="1"/>
  <c r="M64" i="1"/>
  <c r="N64" i="1" s="1"/>
  <c r="O64" i="1" s="1"/>
  <c r="M65" i="1"/>
  <c r="N65" i="1" s="1"/>
  <c r="O65" i="1" s="1"/>
  <c r="M66" i="1"/>
  <c r="N66" i="1" s="1"/>
  <c r="O66" i="1" s="1"/>
  <c r="M67" i="1"/>
  <c r="N67" i="1" s="1"/>
  <c r="O67" i="1" s="1"/>
  <c r="M68" i="1"/>
  <c r="N68" i="1" s="1"/>
  <c r="O68" i="1" s="1"/>
  <c r="M69" i="1"/>
  <c r="N69" i="1" s="1"/>
  <c r="O69" i="1" s="1"/>
  <c r="M70" i="1"/>
  <c r="N70" i="1" s="1"/>
  <c r="O70" i="1" s="1"/>
  <c r="M71" i="1"/>
  <c r="N71" i="1" s="1"/>
  <c r="O71" i="1" s="1"/>
  <c r="M72" i="1"/>
  <c r="N72" i="1" s="1"/>
  <c r="O72" i="1" s="1"/>
  <c r="M73" i="1"/>
  <c r="N73" i="1" s="1"/>
  <c r="O73" i="1" s="1"/>
  <c r="M74" i="1"/>
  <c r="N74" i="1" s="1"/>
  <c r="O74" i="1" s="1"/>
  <c r="M75" i="1"/>
  <c r="N75" i="1" s="1"/>
  <c r="O75" i="1" s="1"/>
  <c r="M76" i="1"/>
  <c r="N76" i="1" s="1"/>
  <c r="O76" i="1" s="1"/>
  <c r="M77" i="1"/>
  <c r="N77" i="1" s="1"/>
  <c r="O77" i="1" s="1"/>
  <c r="M78" i="1"/>
  <c r="N78" i="1" s="1"/>
  <c r="O78" i="1" s="1"/>
  <c r="M79" i="1"/>
  <c r="N79" i="1" s="1"/>
  <c r="O79" i="1" s="1"/>
  <c r="M80" i="1"/>
  <c r="N80" i="1" s="1"/>
  <c r="O80" i="1" s="1"/>
  <c r="M81" i="1"/>
  <c r="N81" i="1" s="1"/>
  <c r="O81" i="1" s="1"/>
  <c r="M82" i="1"/>
  <c r="N82" i="1" s="1"/>
  <c r="O82" i="1" s="1"/>
  <c r="M83" i="1"/>
  <c r="N83" i="1" s="1"/>
  <c r="O83" i="1" s="1"/>
  <c r="M84" i="1"/>
  <c r="N84" i="1" s="1"/>
  <c r="O84" i="1" s="1"/>
  <c r="M85" i="1"/>
  <c r="N85" i="1" s="1"/>
  <c r="O85" i="1" s="1"/>
  <c r="M86" i="1"/>
  <c r="N86" i="1" s="1"/>
  <c r="O86" i="1" s="1"/>
  <c r="M87" i="1"/>
  <c r="N87" i="1" s="1"/>
  <c r="O87" i="1" s="1"/>
  <c r="M88" i="1"/>
  <c r="N88" i="1" s="1"/>
  <c r="O88" i="1" s="1"/>
  <c r="M89" i="1"/>
  <c r="N89" i="1" s="1"/>
  <c r="O89" i="1" s="1"/>
  <c r="M90" i="1"/>
  <c r="N90" i="1" s="1"/>
  <c r="O90" i="1" s="1"/>
  <c r="M91" i="1"/>
  <c r="N91" i="1" s="1"/>
  <c r="O91" i="1" s="1"/>
  <c r="M92" i="1"/>
  <c r="N92" i="1" s="1"/>
  <c r="O92" i="1" s="1"/>
  <c r="M93" i="1"/>
  <c r="N93" i="1" s="1"/>
  <c r="O93" i="1" s="1"/>
  <c r="M94" i="1"/>
  <c r="N94" i="1" s="1"/>
  <c r="O94" i="1" s="1"/>
  <c r="M95" i="1"/>
  <c r="N95" i="1" s="1"/>
  <c r="O95" i="1" s="1"/>
  <c r="M96" i="1"/>
  <c r="N96" i="1" s="1"/>
  <c r="O96" i="1" s="1"/>
  <c r="M97" i="1"/>
  <c r="N97" i="1" s="1"/>
  <c r="O97" i="1" s="1"/>
  <c r="M98" i="1"/>
  <c r="N98" i="1" s="1"/>
  <c r="O98" i="1" s="1"/>
  <c r="M99" i="1"/>
  <c r="N99" i="1" s="1"/>
  <c r="O99" i="1" s="1"/>
  <c r="M100" i="1"/>
  <c r="N100" i="1" s="1"/>
  <c r="O100" i="1" s="1"/>
  <c r="M101" i="1"/>
  <c r="N101" i="1" s="1"/>
  <c r="O101" i="1" s="1"/>
  <c r="M102" i="1"/>
  <c r="N102" i="1" s="1"/>
  <c r="O102" i="1" s="1"/>
  <c r="M103" i="1"/>
  <c r="N103" i="1" s="1"/>
  <c r="O103" i="1" s="1"/>
  <c r="M104" i="1"/>
  <c r="N104" i="1" s="1"/>
  <c r="O104" i="1" s="1"/>
  <c r="M105" i="1"/>
  <c r="N105" i="1" s="1"/>
  <c r="O105" i="1" s="1"/>
  <c r="M106" i="1"/>
  <c r="N106" i="1" s="1"/>
  <c r="O106" i="1" s="1"/>
  <c r="M107" i="1"/>
  <c r="N107" i="1" s="1"/>
  <c r="O107" i="1" s="1"/>
  <c r="M108" i="1"/>
  <c r="N108" i="1" s="1"/>
  <c r="O108" i="1" s="1"/>
  <c r="M109" i="1"/>
  <c r="N109" i="1" s="1"/>
  <c r="O109" i="1" s="1"/>
  <c r="M110" i="1"/>
  <c r="N110" i="1" s="1"/>
  <c r="O110" i="1" s="1"/>
  <c r="M111" i="1"/>
  <c r="N111" i="1" s="1"/>
  <c r="O111" i="1" s="1"/>
  <c r="M112" i="1"/>
  <c r="N112" i="1" s="1"/>
  <c r="O112" i="1" s="1"/>
  <c r="M113" i="1"/>
  <c r="N113" i="1" s="1"/>
  <c r="O113" i="1" s="1"/>
  <c r="M114" i="1"/>
  <c r="N114" i="1" s="1"/>
  <c r="O114" i="1" s="1"/>
  <c r="M115" i="1"/>
  <c r="N115" i="1" s="1"/>
  <c r="O115" i="1" s="1"/>
  <c r="M116" i="1"/>
  <c r="N116" i="1" s="1"/>
  <c r="O116" i="1" s="1"/>
  <c r="M117" i="1"/>
  <c r="N117" i="1" s="1"/>
  <c r="O117" i="1" s="1"/>
  <c r="M118" i="1"/>
  <c r="N118" i="1" s="1"/>
  <c r="O118" i="1" s="1"/>
  <c r="M119" i="1"/>
  <c r="N119" i="1" s="1"/>
  <c r="O119" i="1" s="1"/>
  <c r="M120" i="1"/>
  <c r="N120" i="1" s="1"/>
  <c r="O120" i="1" s="1"/>
  <c r="M121" i="1"/>
  <c r="N121" i="1" s="1"/>
  <c r="O121" i="1" s="1"/>
  <c r="M122" i="1"/>
  <c r="N122" i="1" s="1"/>
  <c r="O122" i="1" s="1"/>
  <c r="M123" i="1"/>
  <c r="N123" i="1" s="1"/>
  <c r="O123" i="1" s="1"/>
  <c r="M124" i="1"/>
  <c r="N124" i="1" s="1"/>
  <c r="O124" i="1" s="1"/>
  <c r="M125" i="1"/>
  <c r="N125" i="1" s="1"/>
  <c r="O125" i="1" s="1"/>
  <c r="M126" i="1"/>
  <c r="N126" i="1" s="1"/>
  <c r="O126" i="1" s="1"/>
  <c r="M127" i="1"/>
  <c r="N127" i="1" s="1"/>
  <c r="O127" i="1" s="1"/>
  <c r="M128" i="1"/>
  <c r="N128" i="1" s="1"/>
  <c r="O128" i="1" s="1"/>
  <c r="M129" i="1"/>
  <c r="N129" i="1" s="1"/>
  <c r="O129" i="1" s="1"/>
  <c r="M130" i="1"/>
  <c r="N130" i="1" s="1"/>
  <c r="O130" i="1" s="1"/>
  <c r="M131" i="1"/>
  <c r="N131" i="1" s="1"/>
  <c r="O131" i="1" s="1"/>
  <c r="M132" i="1"/>
  <c r="N132" i="1" s="1"/>
  <c r="O132" i="1" s="1"/>
  <c r="M133" i="1"/>
  <c r="N133" i="1" s="1"/>
  <c r="O133" i="1" s="1"/>
  <c r="M134" i="1"/>
  <c r="N134" i="1" s="1"/>
  <c r="O134" i="1" s="1"/>
  <c r="M135" i="1"/>
  <c r="N135" i="1" s="1"/>
  <c r="O135" i="1" s="1"/>
  <c r="M136" i="1"/>
  <c r="N136" i="1" s="1"/>
  <c r="O136" i="1" s="1"/>
  <c r="M137" i="1"/>
  <c r="N137" i="1" s="1"/>
  <c r="O137" i="1" s="1"/>
  <c r="M138" i="1"/>
  <c r="N138" i="1" s="1"/>
  <c r="O138" i="1" s="1"/>
  <c r="M139" i="1"/>
  <c r="N139" i="1" s="1"/>
  <c r="O139" i="1" s="1"/>
  <c r="M140" i="1"/>
  <c r="N140" i="1" s="1"/>
  <c r="O140" i="1" s="1"/>
  <c r="M141" i="1"/>
  <c r="N141" i="1" s="1"/>
  <c r="O141" i="1" s="1"/>
  <c r="M142" i="1"/>
  <c r="N142" i="1" s="1"/>
  <c r="O142" i="1" s="1"/>
  <c r="M143" i="1"/>
  <c r="N143" i="1" s="1"/>
  <c r="O143" i="1" s="1"/>
  <c r="M144" i="1"/>
  <c r="N144" i="1" s="1"/>
  <c r="O144" i="1" s="1"/>
  <c r="M145" i="1"/>
  <c r="N145" i="1" s="1"/>
  <c r="O145" i="1" s="1"/>
  <c r="M146" i="1"/>
  <c r="N146" i="1" s="1"/>
  <c r="O146" i="1" s="1"/>
  <c r="M147" i="1"/>
  <c r="N147" i="1" s="1"/>
  <c r="O147" i="1" s="1"/>
  <c r="M148" i="1"/>
  <c r="N148" i="1" s="1"/>
  <c r="O148" i="1" s="1"/>
  <c r="M149" i="1"/>
  <c r="N149" i="1" s="1"/>
  <c r="O149" i="1" s="1"/>
  <c r="M150" i="1"/>
  <c r="N150" i="1" s="1"/>
  <c r="O150" i="1" s="1"/>
  <c r="M151" i="1"/>
  <c r="N151" i="1" s="1"/>
  <c r="O151" i="1" s="1"/>
  <c r="M152" i="1"/>
  <c r="N152" i="1" s="1"/>
  <c r="O152" i="1" s="1"/>
  <c r="M153" i="1"/>
  <c r="N153" i="1" s="1"/>
  <c r="O153" i="1" s="1"/>
  <c r="M154" i="1"/>
  <c r="N154" i="1" s="1"/>
  <c r="O154" i="1" s="1"/>
  <c r="M155" i="1"/>
  <c r="N155" i="1" s="1"/>
  <c r="O155" i="1" s="1"/>
  <c r="M156" i="1"/>
  <c r="N156" i="1" s="1"/>
  <c r="O156" i="1" s="1"/>
  <c r="M157" i="1"/>
  <c r="N157" i="1" s="1"/>
  <c r="O157" i="1" s="1"/>
  <c r="M158" i="1"/>
  <c r="N158" i="1" s="1"/>
  <c r="O158" i="1" s="1"/>
  <c r="M159" i="1"/>
  <c r="N159" i="1" s="1"/>
  <c r="O159" i="1" s="1"/>
  <c r="M160" i="1"/>
  <c r="N160" i="1" s="1"/>
  <c r="O160" i="1" s="1"/>
  <c r="M161" i="1"/>
  <c r="N161" i="1" s="1"/>
  <c r="O161" i="1" s="1"/>
  <c r="M162" i="1"/>
  <c r="N162" i="1" s="1"/>
  <c r="O162" i="1" s="1"/>
  <c r="M163" i="1"/>
  <c r="N163" i="1" s="1"/>
  <c r="O163" i="1" s="1"/>
  <c r="M164" i="1"/>
  <c r="N164" i="1" s="1"/>
  <c r="O164" i="1" s="1"/>
  <c r="M165" i="1"/>
  <c r="N165" i="1" s="1"/>
  <c r="O165" i="1" s="1"/>
  <c r="M166" i="1"/>
  <c r="N166" i="1" s="1"/>
  <c r="O166" i="1" s="1"/>
  <c r="M167" i="1"/>
  <c r="N167" i="1" s="1"/>
  <c r="O167" i="1" s="1"/>
  <c r="M168" i="1"/>
  <c r="N168" i="1" s="1"/>
  <c r="O168" i="1" s="1"/>
  <c r="M169" i="1"/>
  <c r="N169" i="1" s="1"/>
  <c r="O169" i="1" s="1"/>
  <c r="M170" i="1"/>
  <c r="N170" i="1" s="1"/>
  <c r="O170" i="1" s="1"/>
  <c r="M171" i="1"/>
  <c r="N171" i="1" s="1"/>
  <c r="O171" i="1" s="1"/>
  <c r="M172" i="1"/>
  <c r="N172" i="1" s="1"/>
  <c r="O172" i="1" s="1"/>
  <c r="M173" i="1"/>
  <c r="N173" i="1" s="1"/>
  <c r="O173" i="1" s="1"/>
  <c r="M174" i="1"/>
  <c r="N174" i="1" s="1"/>
  <c r="O174" i="1" s="1"/>
  <c r="M175" i="1"/>
  <c r="N175" i="1" s="1"/>
  <c r="O175" i="1" s="1"/>
  <c r="M176" i="1"/>
  <c r="N176" i="1" s="1"/>
  <c r="O176" i="1" s="1"/>
  <c r="M177" i="1"/>
  <c r="N177" i="1" s="1"/>
  <c r="O177" i="1" s="1"/>
  <c r="M178" i="1"/>
  <c r="N178" i="1" s="1"/>
  <c r="O178" i="1" s="1"/>
  <c r="M179" i="1"/>
  <c r="N179" i="1" s="1"/>
  <c r="O179" i="1" s="1"/>
  <c r="M180" i="1"/>
  <c r="N180" i="1" s="1"/>
  <c r="O180" i="1" s="1"/>
  <c r="M181" i="1"/>
  <c r="N181" i="1" s="1"/>
  <c r="O181" i="1" s="1"/>
  <c r="M182" i="1"/>
  <c r="N182" i="1" s="1"/>
  <c r="O182" i="1" s="1"/>
  <c r="M183" i="1"/>
  <c r="N183" i="1" s="1"/>
  <c r="O183" i="1" s="1"/>
  <c r="M184" i="1"/>
  <c r="N184" i="1" s="1"/>
  <c r="O184" i="1" s="1"/>
  <c r="M185" i="1"/>
  <c r="N185" i="1" s="1"/>
  <c r="O185" i="1" s="1"/>
  <c r="M186" i="1"/>
  <c r="N186" i="1" s="1"/>
  <c r="O186" i="1" s="1"/>
  <c r="M187" i="1"/>
  <c r="N187" i="1" s="1"/>
  <c r="O187" i="1" s="1"/>
  <c r="M188" i="1"/>
  <c r="N188" i="1" s="1"/>
  <c r="O188" i="1" s="1"/>
  <c r="M189" i="1"/>
  <c r="N189" i="1" s="1"/>
  <c r="O189" i="1" s="1"/>
  <c r="M190" i="1"/>
  <c r="N190" i="1" s="1"/>
  <c r="O190" i="1" s="1"/>
  <c r="M191" i="1"/>
  <c r="N191" i="1" s="1"/>
  <c r="O191" i="1" s="1"/>
  <c r="M192" i="1"/>
  <c r="N192" i="1" s="1"/>
  <c r="O192" i="1" s="1"/>
  <c r="M193" i="1"/>
  <c r="N193" i="1" s="1"/>
  <c r="O193" i="1" s="1"/>
  <c r="M194" i="1"/>
  <c r="N194" i="1" s="1"/>
  <c r="O194" i="1" s="1"/>
  <c r="M195" i="1"/>
  <c r="N195" i="1" s="1"/>
  <c r="O195" i="1" s="1"/>
  <c r="M196" i="1"/>
  <c r="N196" i="1" s="1"/>
  <c r="O196" i="1" s="1"/>
  <c r="M197" i="1"/>
  <c r="N197" i="1" s="1"/>
  <c r="O197" i="1" s="1"/>
  <c r="M198" i="1"/>
  <c r="N198" i="1" s="1"/>
  <c r="O198" i="1" s="1"/>
  <c r="M199" i="1"/>
  <c r="N199" i="1" s="1"/>
  <c r="O199" i="1" s="1"/>
  <c r="M200" i="1"/>
  <c r="N200" i="1" s="1"/>
  <c r="O200" i="1" s="1"/>
  <c r="M201" i="1"/>
  <c r="N201" i="1" s="1"/>
  <c r="O201" i="1" s="1"/>
  <c r="M202" i="1"/>
  <c r="N202" i="1" s="1"/>
  <c r="O202" i="1" s="1"/>
  <c r="M203" i="1"/>
  <c r="N203" i="1" s="1"/>
  <c r="O203" i="1" s="1"/>
  <c r="M204" i="1"/>
  <c r="N204" i="1" s="1"/>
  <c r="O204" i="1" s="1"/>
  <c r="M205" i="1"/>
  <c r="N205" i="1" s="1"/>
  <c r="O205" i="1" s="1"/>
  <c r="M206" i="1"/>
  <c r="N206" i="1" s="1"/>
  <c r="O206" i="1" s="1"/>
  <c r="M207" i="1"/>
  <c r="N207" i="1" s="1"/>
  <c r="O207" i="1" s="1"/>
  <c r="M208" i="1"/>
  <c r="N208" i="1" s="1"/>
  <c r="O208" i="1" s="1"/>
  <c r="M209" i="1"/>
  <c r="N209" i="1" s="1"/>
  <c r="O209" i="1" s="1"/>
  <c r="M210" i="1"/>
  <c r="N210" i="1" s="1"/>
  <c r="O210" i="1" s="1"/>
  <c r="M211" i="1"/>
  <c r="N211" i="1" s="1"/>
  <c r="O211" i="1" s="1"/>
  <c r="M212" i="1"/>
  <c r="N212" i="1" s="1"/>
  <c r="O212" i="1" s="1"/>
  <c r="M213" i="1"/>
  <c r="N213" i="1" s="1"/>
  <c r="O213" i="1" s="1"/>
  <c r="M214" i="1"/>
  <c r="N214" i="1" s="1"/>
  <c r="O214" i="1" s="1"/>
  <c r="M215" i="1"/>
  <c r="N215" i="1" s="1"/>
  <c r="O215" i="1" s="1"/>
  <c r="M216" i="1"/>
  <c r="N216" i="1" s="1"/>
  <c r="O216" i="1" s="1"/>
  <c r="M217" i="1"/>
  <c r="N217" i="1" s="1"/>
  <c r="O217" i="1" s="1"/>
  <c r="M218" i="1"/>
  <c r="N218" i="1" s="1"/>
  <c r="O218" i="1" s="1"/>
  <c r="M219" i="1"/>
  <c r="N219" i="1" s="1"/>
  <c r="O219" i="1" s="1"/>
  <c r="M220" i="1"/>
  <c r="N220" i="1" s="1"/>
  <c r="O220" i="1" s="1"/>
  <c r="M221" i="1"/>
  <c r="N221" i="1" s="1"/>
  <c r="O221" i="1" s="1"/>
  <c r="M222" i="1"/>
  <c r="N222" i="1" s="1"/>
  <c r="O222" i="1" s="1"/>
  <c r="M223" i="1"/>
  <c r="N223" i="1" s="1"/>
  <c r="O223" i="1" s="1"/>
  <c r="M224" i="1"/>
  <c r="N224" i="1" s="1"/>
  <c r="O224" i="1" s="1"/>
  <c r="M225" i="1"/>
  <c r="N225" i="1" s="1"/>
  <c r="O225" i="1" s="1"/>
  <c r="M226" i="1"/>
  <c r="N226" i="1" s="1"/>
  <c r="O226" i="1" s="1"/>
  <c r="M227" i="1"/>
  <c r="N227" i="1" s="1"/>
  <c r="O227" i="1" s="1"/>
  <c r="M228" i="1"/>
  <c r="N228" i="1" s="1"/>
  <c r="O228" i="1" s="1"/>
  <c r="M229" i="1"/>
  <c r="N229" i="1" s="1"/>
  <c r="O229" i="1" s="1"/>
  <c r="M230" i="1"/>
  <c r="N230" i="1" s="1"/>
  <c r="O230" i="1" s="1"/>
  <c r="M231" i="1"/>
  <c r="N231" i="1" s="1"/>
  <c r="O231" i="1" s="1"/>
  <c r="M232" i="1"/>
  <c r="N232" i="1" s="1"/>
  <c r="O232" i="1" s="1"/>
  <c r="M233" i="1"/>
  <c r="N233" i="1" s="1"/>
  <c r="O233" i="1" s="1"/>
  <c r="M234" i="1"/>
  <c r="N234" i="1" s="1"/>
  <c r="O234" i="1" s="1"/>
  <c r="M235" i="1"/>
  <c r="N235" i="1" s="1"/>
  <c r="O235" i="1" s="1"/>
  <c r="M236" i="1"/>
  <c r="N236" i="1" s="1"/>
  <c r="O236" i="1" s="1"/>
  <c r="M237" i="1"/>
  <c r="N237" i="1" s="1"/>
  <c r="O237" i="1" s="1"/>
  <c r="M238" i="1"/>
  <c r="N238" i="1" s="1"/>
  <c r="O238" i="1" s="1"/>
  <c r="M239" i="1"/>
  <c r="N239" i="1" s="1"/>
  <c r="O239" i="1" s="1"/>
  <c r="M240" i="1"/>
  <c r="N240" i="1" s="1"/>
  <c r="O240" i="1" s="1"/>
  <c r="M241" i="1"/>
  <c r="N241" i="1" s="1"/>
  <c r="O241" i="1" s="1"/>
  <c r="M242" i="1"/>
  <c r="N242" i="1" s="1"/>
  <c r="O242" i="1" s="1"/>
  <c r="M243" i="1"/>
  <c r="N243" i="1" s="1"/>
  <c r="O243" i="1" s="1"/>
  <c r="M244" i="1"/>
  <c r="N244" i="1" s="1"/>
  <c r="O244" i="1" s="1"/>
  <c r="M245" i="1"/>
  <c r="N245" i="1" s="1"/>
  <c r="O245" i="1" s="1"/>
  <c r="M2" i="1"/>
  <c r="N2" i="1" s="1"/>
  <c r="O2" i="1" s="1"/>
  <c r="O247" i="1" l="1"/>
  <c r="O249" i="1" s="1"/>
  <c r="O251" i="1" s="1"/>
</calcChain>
</file>

<file path=xl/sharedStrings.xml><?xml version="1.0" encoding="utf-8"?>
<sst xmlns="http://schemas.openxmlformats.org/spreadsheetml/2006/main" count="164" uniqueCount="150">
  <si>
    <t>smoker</t>
  </si>
  <si>
    <t>day</t>
  </si>
  <si>
    <t>time</t>
  </si>
  <si>
    <t>size</t>
  </si>
  <si>
    <t>total_bill</t>
  </si>
  <si>
    <t>tip</t>
  </si>
  <si>
    <t>Sun</t>
  </si>
  <si>
    <t>Dinner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</si>
  <si>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</si>
  <si>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</si>
  <si>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</si>
  <si>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</si>
  <si>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</si>
  <si>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</si>
  <si>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</si>
  <si>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</si>
  <si>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</si>
  <si>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</si>
  <si>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Fri</t>
  </si>
  <si>
    <t>female</t>
  </si>
  <si>
    <t>male</t>
  </si>
  <si>
    <t>non smoker</t>
  </si>
  <si>
    <t>lunch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</si>
  <si>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</si>
  <si>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</si>
  <si>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</si>
  <si>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</si>
  <si>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</si>
  <si>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</si>
  <si>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</si>
  <si>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</si>
  <si>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</si>
  <si>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</si>
  <si>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</si>
  <si>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</si>
  <si>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</si>
  <si>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</si>
  <si>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</si>
  <si>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</si>
  <si>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</si>
  <si>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</si>
  <si>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</si>
  <si>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</si>
  <si>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</si>
  <si>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</si>
  <si>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</si>
  <si>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</si>
  <si>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most imprtant P- value to find 'less then 0.05 in P value </t>
  </si>
  <si>
    <t>Note:</t>
  </si>
  <si>
    <t>Projected tip</t>
  </si>
  <si>
    <t>difference</t>
  </si>
  <si>
    <t>square</t>
  </si>
  <si>
    <t>Percentage of error</t>
  </si>
  <si>
    <t>Average of Projected Tip^2</t>
  </si>
  <si>
    <t>Average actual tips</t>
  </si>
  <si>
    <t>The purpose of this project is to analyse a real-world restaurant dataset and build a predictive model capable of estimating tip amounts based on customer and bill characteristics. Using Microsoft Excel and the Data Analysis Toolpak, a multiple linear regression model was developed to identify significant predictors, evaluate model accuracy, and interpret tipping behaviour in a practical context.</t>
  </si>
  <si>
    <t>This project demonstrates a complete analytical workflow, including data preparation, encoding, modelling, evaluation, and interpretation — reflecting professional data analytics practice.</t>
  </si>
  <si>
    <r>
      <t xml:space="preserve">The dataset contains </t>
    </r>
    <r>
      <rPr>
        <b/>
        <sz val="11"/>
        <color theme="1"/>
        <rFont val="Calibri"/>
        <family val="2"/>
        <scheme val="minor"/>
      </rPr>
      <t>244 observations</t>
    </r>
    <r>
      <rPr>
        <sz val="11"/>
        <color theme="1"/>
        <rFont val="Calibri"/>
        <family val="2"/>
        <scheme val="minor"/>
      </rPr>
      <t xml:space="preserve"> with the following variables:</t>
    </r>
  </si>
  <si>
    <t>A full scan of the dataset confirmed:</t>
  </si>
  <si>
    <t>✔ No missing values</t>
  </si>
  <si>
    <t>All rows were complete, meaning no imputation or removal was required. This ensured the model was trained on clean and reliable data</t>
  </si>
  <si>
    <t>This classification aligns with standard predictive modelling practices.</t>
  </si>
  <si>
    <t>Examples:</t>
  </si>
  <si>
    <t>This step ensures Excel can correctly interpret categorical information.</t>
  </si>
  <si>
    <r>
      <t>Multiple R:</t>
    </r>
    <r>
      <rPr>
        <sz val="11"/>
        <color theme="1"/>
        <rFont val="Calibri"/>
        <family val="2"/>
        <scheme val="minor"/>
      </rPr>
      <t xml:space="preserve"> 0.6856</t>
    </r>
  </si>
  <si>
    <t>Interpretation:</t>
  </si>
  <si>
    <t>✔ Average percentage error = 34%</t>
  </si>
  <si>
    <t>Academic Interpretation:</t>
  </si>
  <si>
    <t>On average, the model’s predictions differ from actual tip values by 34%.</t>
  </si>
  <si>
    <t>Real-life Interpretation:</t>
  </si>
  <si>
    <t>If the actual tip is £3, the model may predict around £2 or £4. If the actual tip is £10, the model may predict around £6.6 or £13.4.</t>
  </si>
  <si>
    <t>Is 34% acceptable?</t>
  </si>
  <si>
    <t>Yes — for human behaviour data, this is normal.</t>
  </si>
  <si>
    <t>Tipping depends on:</t>
  </si>
  <si>
    <r>
      <t xml:space="preserve">These factors are 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 the dataset, so the model cannot predict them.</t>
    </r>
  </si>
  <si>
    <r>
      <t xml:space="preserve">Thus, </t>
    </r>
    <r>
      <rPr>
        <b/>
        <sz val="11"/>
        <color theme="1"/>
        <rFont val="Calibri"/>
        <family val="2"/>
        <scheme val="minor"/>
      </rPr>
      <t>34% error is reasonable and expected</t>
    </r>
    <r>
      <rPr>
        <sz val="11"/>
        <color theme="1"/>
        <rFont val="Calibri"/>
        <family val="2"/>
        <scheme val="minor"/>
      </rPr>
      <t>.</t>
    </r>
  </si>
  <si>
    <t>The model predicts tip amounts with an average error of about $1.</t>
  </si>
  <si>
    <t>This is strong performance for a simple linear model.</t>
  </si>
  <si>
    <t>This project successfully demonstrates the full process of building a predictive model using Excel:</t>
  </si>
  <si>
    <r>
      <t xml:space="preserve">The model performs reliably, explaining approximately </t>
    </r>
    <r>
      <rPr>
        <b/>
        <sz val="11"/>
        <color theme="1"/>
        <rFont val="Calibri"/>
        <family val="2"/>
        <scheme val="minor"/>
      </rPr>
      <t>44–47%</t>
    </r>
    <r>
      <rPr>
        <sz val="11"/>
        <color theme="1"/>
        <rFont val="Calibri"/>
        <family val="2"/>
        <scheme val="minor"/>
      </rPr>
      <t xml:space="preserve"> of tipping behaviour and predicting tip amounts within </t>
    </r>
    <r>
      <rPr>
        <b/>
        <sz val="11"/>
        <color theme="1"/>
        <rFont val="Calibri"/>
        <family val="2"/>
        <scheme val="minor"/>
      </rPr>
      <t>$1 accuracy</t>
    </r>
    <r>
      <rPr>
        <sz val="11"/>
        <color theme="1"/>
        <rFont val="Calibri"/>
        <family val="2"/>
        <scheme val="minor"/>
      </rPr>
      <t xml:space="preserve"> on average. The most influential factor is </t>
    </r>
    <r>
      <rPr>
        <b/>
        <sz val="11"/>
        <color theme="1"/>
        <rFont val="Calibri"/>
        <family val="2"/>
        <scheme val="minor"/>
      </rPr>
      <t>total bill amount</t>
    </r>
    <r>
      <rPr>
        <sz val="11"/>
        <color theme="1"/>
        <rFont val="Calibri"/>
        <family val="2"/>
        <scheme val="minor"/>
      </rPr>
      <t>, confirming a strong and intuitive relationship between bill size and tip size.</t>
    </r>
  </si>
  <si>
    <r>
      <t xml:space="preserve">Because the goal of the project is to </t>
    </r>
    <r>
      <rPr>
        <b/>
        <sz val="11"/>
        <color theme="1"/>
        <rFont val="Calibri"/>
        <family val="2"/>
        <scheme val="minor"/>
      </rPr>
      <t>predict the tip amount</t>
    </r>
    <r>
      <rPr>
        <sz val="11"/>
        <color theme="1"/>
        <rFont val="Calibri"/>
        <family val="2"/>
        <scheme val="minor"/>
      </rPr>
      <t xml:space="preserve">, which is a </t>
    </r>
    <r>
      <rPr>
        <b/>
        <sz val="11"/>
        <color theme="1"/>
        <rFont val="Calibri"/>
        <family val="2"/>
        <scheme val="minor"/>
      </rPr>
      <t>numerical (continuous) value</t>
    </r>
    <r>
      <rPr>
        <sz val="11"/>
        <color theme="1"/>
        <rFont val="Calibri"/>
        <family val="2"/>
        <scheme val="minor"/>
      </rPr>
      <t>, the correct predictive model is:</t>
    </r>
  </si>
  <si>
    <t>✔ Multiple Linear Regression</t>
  </si>
  <si>
    <t>This model is appropriate because:</t>
  </si>
  <si>
    <r>
      <t>The dependent variable (</t>
    </r>
    <r>
      <rPr>
        <b/>
        <sz val="11"/>
        <color theme="1"/>
        <rFont val="Calibri"/>
        <family val="2"/>
        <scheme val="minor"/>
      </rPr>
      <t>tip</t>
    </r>
    <r>
      <rPr>
        <sz val="11"/>
        <color theme="1"/>
        <rFont val="Calibri"/>
        <family val="2"/>
        <scheme val="minor"/>
      </rPr>
      <t>) is numeric</t>
    </r>
  </si>
  <si>
    <t>There are multiple independent variables (sex, smoker, day, time, size, total_bill)</t>
  </si>
  <si>
    <t>Regression quantifies relationships and allows prediction of future values</t>
  </si>
  <si>
    <r>
      <t xml:space="preserve">All of these are outputs of a </t>
    </r>
    <r>
      <rPr>
        <b/>
        <sz val="11"/>
        <color theme="1"/>
        <rFont val="Calibri"/>
        <family val="2"/>
        <scheme val="minor"/>
      </rPr>
      <t>multiple linear regression model</t>
    </r>
  </si>
  <si>
    <t>Model Summary from your Excel sheet:</t>
  </si>
  <si>
    <t>This is strong performance for human behaviour data</t>
  </si>
  <si>
    <r>
      <t xml:space="preserve">The most significant predictor is </t>
    </r>
    <r>
      <rPr>
        <b/>
        <sz val="11"/>
        <color theme="1"/>
        <rFont val="Calibri"/>
        <family val="2"/>
        <scheme val="minor"/>
      </rPr>
      <t>total_bill</t>
    </r>
    <r>
      <rPr>
        <sz val="11"/>
        <color theme="1"/>
        <rFont val="Calibri"/>
        <family val="2"/>
        <scheme val="minor"/>
      </rPr>
      <t xml:space="preserve"> (p-value extremely small: 2.34E‑19)</t>
    </r>
  </si>
  <si>
    <t>Used the regression equation to compute predicted tips</t>
  </si>
  <si>
    <t>Compared predicted vs actual values</t>
  </si>
  <si>
    <t>Calculated the error for each observation</t>
  </si>
  <si>
    <r>
      <t xml:space="preserve">calculated RMSE = </t>
    </r>
    <r>
      <rPr>
        <b/>
        <sz val="11"/>
        <color theme="1"/>
        <rFont val="Calibri"/>
        <family val="2"/>
        <scheme val="minor"/>
      </rPr>
      <t>1.0339</t>
    </r>
  </si>
  <si>
    <r>
      <t xml:space="preserve">After adjusting for unnecessary variables, it realistically explains </t>
    </r>
    <r>
      <rPr>
        <b/>
        <sz val="11"/>
        <color theme="1"/>
        <rFont val="Calibri"/>
        <family val="2"/>
        <scheme val="minor"/>
      </rPr>
      <t>43.92%</t>
    </r>
    <r>
      <rPr>
        <sz val="11"/>
        <color theme="1"/>
        <rFont val="Calibri"/>
        <family val="2"/>
        <scheme val="minor"/>
      </rPr>
      <t>(0.43)</t>
    </r>
  </si>
  <si>
    <r>
      <t xml:space="preserve">The model explains </t>
    </r>
    <r>
      <rPr>
        <b/>
        <sz val="11"/>
        <color theme="1"/>
        <rFont val="Calibri"/>
        <family val="2"/>
        <scheme val="minor"/>
      </rPr>
      <t>47%</t>
    </r>
    <r>
      <rPr>
        <sz val="11"/>
        <color theme="1"/>
        <rFont val="Calibri"/>
        <family val="2"/>
        <scheme val="minor"/>
      </rPr>
      <t xml:space="preserve"> (0.47) of the variation in tip amounts</t>
    </r>
  </si>
  <si>
    <r>
      <t>• sex</t>
    </r>
    <r>
      <rPr>
        <sz val="11"/>
        <color theme="1"/>
        <rFont val="Calibri"/>
        <family val="2"/>
        <scheme val="minor"/>
      </rPr>
      <t xml:space="preserve"> (male/female)</t>
    </r>
  </si>
  <si>
    <r>
      <t>• smoker</t>
    </r>
    <r>
      <rPr>
        <sz val="11"/>
        <color theme="1"/>
        <rFont val="Calibri"/>
        <family val="2"/>
        <scheme val="minor"/>
      </rPr>
      <t xml:space="preserve"> (yes/no)</t>
    </r>
  </si>
  <si>
    <r>
      <t>• day</t>
    </r>
    <r>
      <rPr>
        <sz val="11"/>
        <color theme="1"/>
        <rFont val="Calibri"/>
        <family val="2"/>
        <scheme val="minor"/>
      </rPr>
      <t xml:space="preserve"> (Fri/Sat/Sun)</t>
    </r>
  </si>
  <si>
    <r>
      <t>• time</t>
    </r>
    <r>
      <rPr>
        <sz val="11"/>
        <color theme="1"/>
        <rFont val="Calibri"/>
        <family val="2"/>
        <scheme val="minor"/>
      </rPr>
      <t xml:space="preserve"> (Lunch/Dinner)</t>
    </r>
  </si>
  <si>
    <r>
      <t>• size</t>
    </r>
    <r>
      <rPr>
        <sz val="11"/>
        <color theme="1"/>
        <rFont val="Calibri"/>
        <family val="2"/>
        <scheme val="minor"/>
      </rPr>
      <t xml:space="preserve"> (number of diners)</t>
    </r>
  </si>
  <si>
    <r>
      <t>• total_bill</t>
    </r>
    <r>
      <rPr>
        <sz val="11"/>
        <color theme="1"/>
        <rFont val="Calibri"/>
        <family val="2"/>
        <scheme val="minor"/>
      </rPr>
      <t xml:space="preserve"> (USD)</t>
    </r>
  </si>
  <si>
    <r>
      <t>• tip</t>
    </r>
    <r>
      <rPr>
        <sz val="11"/>
        <color theme="1"/>
        <rFont val="Calibri"/>
        <family val="2"/>
        <scheme val="minor"/>
      </rPr>
      <t xml:space="preserve"> (USD)</t>
    </r>
  </si>
  <si>
    <t>• Tip amount (USD)</t>
  </si>
  <si>
    <t>• Sex</t>
  </si>
  <si>
    <t>• Smoker status</t>
  </si>
  <si>
    <t>• Day of visit</t>
  </si>
  <si>
    <t>• Time (Lunch/Dinner)</t>
  </si>
  <si>
    <t>• Party size</t>
  </si>
  <si>
    <t>• Total bill amount</t>
  </si>
  <si>
    <t>• R²</t>
  </si>
  <si>
    <t>• Adjusted R²</t>
  </si>
  <si>
    <t>• Coefficients</t>
  </si>
  <si>
    <t>• P‑values</t>
  </si>
  <si>
    <t>• Standard Error</t>
  </si>
  <si>
    <t>• Male = 1, Female = 0</t>
  </si>
  <si>
    <t>• Smoker = 1, Non-smoker = 0</t>
  </si>
  <si>
    <t>• Dinner = 1, Lunch = 0</t>
  </si>
  <si>
    <t>• Days encoded individually (Fri, Sat, Sun)</t>
  </si>
  <si>
    <r>
      <t>• R²:</t>
    </r>
    <r>
      <rPr>
        <sz val="11"/>
        <color theme="1"/>
        <rFont val="Calibri"/>
        <family val="2"/>
        <scheme val="minor"/>
      </rPr>
      <t xml:space="preserve"> 0.4700</t>
    </r>
  </si>
  <si>
    <r>
      <t>• Adjusted R²:</t>
    </r>
    <r>
      <rPr>
        <sz val="11"/>
        <color theme="1"/>
        <rFont val="Calibri"/>
        <family val="2"/>
        <scheme val="minor"/>
      </rPr>
      <t xml:space="preserve"> 0.4392</t>
    </r>
  </si>
  <si>
    <r>
      <t>• Observations:</t>
    </r>
    <r>
      <rPr>
        <sz val="11"/>
        <color theme="1"/>
        <rFont val="Calibri"/>
        <family val="2"/>
        <scheme val="minor"/>
      </rPr>
      <t xml:space="preserve"> 244</t>
    </r>
  </si>
  <si>
    <r>
      <t xml:space="preserve"> successfully built a </t>
    </r>
    <r>
      <rPr>
        <b/>
        <sz val="11"/>
        <color theme="1"/>
        <rFont val="Calibri"/>
        <family val="2"/>
        <scheme val="minor"/>
      </rPr>
      <t>multiple linear regression model</t>
    </r>
    <r>
      <rPr>
        <sz val="11"/>
        <color theme="1"/>
        <rFont val="Calibri"/>
        <family val="2"/>
        <scheme val="minor"/>
      </rPr>
      <t xml:space="preserve"> using Excel’s Data Analysis Toolpak.</t>
    </r>
  </si>
  <si>
    <t>created columns in your Excel sheet:</t>
  </si>
  <si>
    <t>• Actual Tip</t>
  </si>
  <si>
    <t>• Projected Tip (Predicted Tip)</t>
  </si>
  <si>
    <t>• Difference (Actual – Predicted)</t>
  </si>
  <si>
    <t>• Square (Difference²)</t>
  </si>
  <si>
    <t>This shows :</t>
  </si>
  <si>
    <t>calculated the average percentage error between actual and predicted tips:</t>
  </si>
  <si>
    <t>• mood</t>
  </si>
  <si>
    <t>• service quality</t>
  </si>
  <si>
    <t>• culture</t>
  </si>
  <si>
    <t>• generosity</t>
  </si>
  <si>
    <t>• personal preference</t>
  </si>
  <si>
    <t>• Clean dataset with no missing values</t>
  </si>
  <si>
    <t>• Correct encoding of categorical variables</t>
  </si>
  <si>
    <t>• Proper regression modelling</t>
  </si>
  <si>
    <t>• Identification of significant predictors</t>
  </si>
  <si>
    <t>• Interpretation of statistical outputs</t>
  </si>
  <si>
    <t>• Evaluation of model accuracy</t>
  </si>
  <si>
    <t>• Real-life explanation of results</t>
  </si>
  <si>
    <t>smoker(No)</t>
  </si>
  <si>
    <t>non smoker(yes)</t>
  </si>
  <si>
    <t>Excel output confirms this choice, as it provides:</t>
  </si>
  <si>
    <t>RMSE</t>
  </si>
  <si>
    <t>Dependent Variable (Target) (Coloumn L):</t>
  </si>
  <si>
    <t>Independent Variables (Predictors): (Coloumn A To I)</t>
  </si>
  <si>
    <r>
      <t xml:space="preserve">Since regression requires numerical inputs, all categorical variables were encoded using </t>
    </r>
    <r>
      <rPr>
        <b/>
        <sz val="11"/>
        <color theme="1"/>
        <rFont val="Calibri"/>
        <family val="2"/>
        <scheme val="minor"/>
      </rPr>
      <t>dummy variables</t>
    </r>
    <r>
      <rPr>
        <sz val="11"/>
        <color theme="1"/>
        <rFont val="Calibri"/>
        <family val="2"/>
        <scheme val="minor"/>
      </rPr>
      <t xml:space="preserve"> created with Excel</t>
    </r>
    <r>
      <rPr>
        <b/>
        <u/>
        <sz val="11"/>
        <color theme="1"/>
        <rFont val="Calibri"/>
        <family val="2"/>
        <scheme val="minor"/>
      </rPr>
      <t xml:space="preserve"> IF conditions.</t>
    </r>
  </si>
  <si>
    <r>
      <t>• Standard Error (≈ RMSE):</t>
    </r>
    <r>
      <rPr>
        <sz val="11"/>
        <color theme="1"/>
        <rFont val="Calibri"/>
        <family val="2"/>
        <scheme val="minor"/>
      </rPr>
      <t xml:space="preserve"> 1.0340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</si>
</sst>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6" formatCode="_-* #,##0.0000_-;\-* #,##0.00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0" fillId="2" borderId="0" xfId="0" applyFill="1"/>
    <xf numFmtId="0" fontId="0" fillId="0" borderId="0" xfId="0" applyAlignment="1">
      <alignment horizontal="left" inden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2" fillId="0" borderId="0" xfId="0" applyFont="1" applyAlignment="1">
      <alignment horizontal="left" vertical="center" inden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Fill="1" applyAlignment="1">
      <alignment horizontal="left" vertical="center" indent="1"/>
    </xf>
    <xf numFmtId="0" fontId="0" fillId="0" borderId="0" xfId="0" applyFill="1"/>
    <xf numFmtId="0" fontId="0" fillId="0" borderId="0" xfId="0" applyFill="1" applyAlignment="1">
      <alignment horizontal="left" vertical="center" indent="1"/>
    </xf>
    <xf numFmtId="0" fontId="5" fillId="3" borderId="0" xfId="0" applyFont="1" applyFill="1" applyAlignment="1">
      <alignment vertical="center"/>
    </xf>
    <xf numFmtId="0" fontId="0" fillId="3" borderId="0" xfId="0" applyFill="1"/>
    <xf numFmtId="9" fontId="0" fillId="3" borderId="0" xfId="1" applyFont="1" applyFill="1"/>
    <xf numFmtId="164" fontId="0" fillId="0" borderId="0" xfId="2" applyNumberFormat="1" applyFont="1" applyFill="1"/>
    <xf numFmtId="164" fontId="0" fillId="0" borderId="0" xfId="2" applyNumberFormat="1" applyFont="1"/>
    <xf numFmtId="166" fontId="0" fillId="2" borderId="0" xfId="2" applyNumberFormat="1" applyFont="1" applyFill="1"/>
    <xf numFmtId="166" fontId="0" fillId="0" borderId="0" xfId="2" applyNumberFormat="1" applyFont="1" applyFill="1"/>
    <xf numFmtId="0" fontId="3" fillId="2" borderId="0" xfId="0" applyFont="1" applyFill="1" applyAlignment="1">
      <alignment horizontal="left" vertical="center" indent="1"/>
    </xf>
    <xf numFmtId="0" fontId="0" fillId="4" borderId="0" xfId="0" applyFill="1"/>
    <xf numFmtId="0" fontId="0" fillId="4" borderId="2" xfId="0" applyFill="1" applyBorder="1"/>
    <xf numFmtId="0" fontId="3" fillId="4" borderId="0" xfId="0" applyFont="1" applyFill="1" applyAlignment="1">
      <alignment horizontal="left" vertical="center" indent="1"/>
    </xf>
  </cellXfs>
  <cellStyles count="3">
    <cellStyle name="Comma" xfId="2" builtinId="3"/>
    <cellStyle name="Normal" xfId="0" builtinId="0"/>
    <cellStyle name="Percent" xfId="1" builtinId="5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809624</xdr:colOff>
      <xdr:row>253</xdr:row>
      <xdr:rowOff>9525</xdr:rowOff>
    </xdr:from>
    <xdr:to>
      <xdr:col>8</xdr:col>
      <xdr:colOff>123825</xdr:colOff>
      <xdr:row>255</xdr:row>
      <xdr:rowOff>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9C0A6AC-2D07-A445-13CB-DC583CBC65C6}"/>
            </a:ext>
          </a:extLst>
        </xdr:cNvPr>
        <xdr:cNvSpPr/>
      </xdr:nvSpPr>
      <xdr:spPr>
        <a:xfrm>
          <a:off x="4400549" y="48253650"/>
          <a:ext cx="2895601" cy="37147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 u="sng">
              <a:solidFill>
                <a:schemeClr val="tx1">
                  <a:lumMod val="95000"/>
                  <a:lumOff val="5000"/>
                </a:schemeClr>
              </a:solidFill>
            </a:rPr>
            <a:t>AGENDA</a:t>
          </a:r>
          <a:r>
            <a:rPr lang="en-GB" sz="1400" b="1" u="sng" baseline="0">
              <a:solidFill>
                <a:schemeClr val="tx1">
                  <a:lumMod val="95000"/>
                  <a:lumOff val="5000"/>
                </a:schemeClr>
              </a:solidFill>
            </a:rPr>
            <a:t> FOR ANALYSIS:</a:t>
          </a:r>
          <a:endParaRPr lang="en-GB" sz="1400" b="1" u="sng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28575</xdr:colOff>
      <xdr:row>258</xdr:row>
      <xdr:rowOff>104775</xdr:rowOff>
    </xdr:from>
    <xdr:to>
      <xdr:col>2</xdr:col>
      <xdr:colOff>266700</xdr:colOff>
      <xdr:row>258</xdr:row>
      <xdr:rowOff>361950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D7C6892-8A05-48CF-9DBB-8E0927D3BDEF}"/>
            </a:ext>
          </a:extLst>
        </xdr:cNvPr>
        <xdr:cNvSpPr/>
      </xdr:nvSpPr>
      <xdr:spPr>
        <a:xfrm>
          <a:off x="28575" y="49301400"/>
          <a:ext cx="2028825" cy="25717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1. Introduction:</a:t>
          </a:r>
        </a:p>
      </xdr:txBody>
    </xdr:sp>
    <xdr:clientData/>
  </xdr:twoCellAnchor>
  <xdr:twoCellAnchor>
    <xdr:from>
      <xdr:col>0</xdr:col>
      <xdr:colOff>28575</xdr:colOff>
      <xdr:row>264</xdr:row>
      <xdr:rowOff>133350</xdr:rowOff>
    </xdr:from>
    <xdr:to>
      <xdr:col>3</xdr:col>
      <xdr:colOff>228600</xdr:colOff>
      <xdr:row>264</xdr:row>
      <xdr:rowOff>371475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3531ACD-6D90-4F28-AB2F-4268DFC1E6EC}"/>
            </a:ext>
          </a:extLst>
        </xdr:cNvPr>
        <xdr:cNvSpPr/>
      </xdr:nvSpPr>
      <xdr:spPr>
        <a:xfrm>
          <a:off x="28575" y="50682525"/>
          <a:ext cx="2886075" cy="23812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2. Dataset Overview &amp; Data Quality Check</a:t>
          </a:r>
        </a:p>
      </xdr:txBody>
    </xdr:sp>
    <xdr:clientData/>
  </xdr:twoCellAnchor>
  <xdr:twoCellAnchor>
    <xdr:from>
      <xdr:col>0</xdr:col>
      <xdr:colOff>19050</xdr:colOff>
      <xdr:row>289</xdr:row>
      <xdr:rowOff>152400</xdr:rowOff>
    </xdr:from>
    <xdr:to>
      <xdr:col>2</xdr:col>
      <xdr:colOff>352425</xdr:colOff>
      <xdr:row>290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D8661A0E-AC8C-47F0-B967-F4C95D302A09}"/>
            </a:ext>
          </a:extLst>
        </xdr:cNvPr>
        <xdr:cNvSpPr/>
      </xdr:nvSpPr>
      <xdr:spPr>
        <a:xfrm>
          <a:off x="19050" y="55711725"/>
          <a:ext cx="2124075" cy="247650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3. Variable Classification:</a:t>
          </a:r>
        </a:p>
      </xdr:txBody>
    </xdr:sp>
    <xdr:clientData/>
  </xdr:twoCellAnchor>
  <xdr:twoCellAnchor>
    <xdr:from>
      <xdr:col>0</xdr:col>
      <xdr:colOff>28576</xdr:colOff>
      <xdr:row>356</xdr:row>
      <xdr:rowOff>28575</xdr:rowOff>
    </xdr:from>
    <xdr:to>
      <xdr:col>3</xdr:col>
      <xdr:colOff>504826</xdr:colOff>
      <xdr:row>356</xdr:row>
      <xdr:rowOff>323850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3ED1BB9-7B58-4478-B8E6-752EFD1308DD}"/>
            </a:ext>
          </a:extLst>
        </xdr:cNvPr>
        <xdr:cNvSpPr/>
      </xdr:nvSpPr>
      <xdr:spPr>
        <a:xfrm>
          <a:off x="28576" y="69094350"/>
          <a:ext cx="3162300" cy="29527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6. Build an appropriate model with the dataset</a:t>
          </a:r>
        </a:p>
      </xdr:txBody>
    </xdr:sp>
    <xdr:clientData/>
  </xdr:twoCellAnchor>
  <xdr:twoCellAnchor>
    <xdr:from>
      <xdr:col>0</xdr:col>
      <xdr:colOff>28575</xdr:colOff>
      <xdr:row>311</xdr:row>
      <xdr:rowOff>142875</xdr:rowOff>
    </xdr:from>
    <xdr:to>
      <xdr:col>3</xdr:col>
      <xdr:colOff>228600</xdr:colOff>
      <xdr:row>311</xdr:row>
      <xdr:rowOff>381000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7988D72-5560-434C-B079-6EEEB0AF5704}"/>
            </a:ext>
          </a:extLst>
        </xdr:cNvPr>
        <xdr:cNvSpPr/>
      </xdr:nvSpPr>
      <xdr:spPr>
        <a:xfrm>
          <a:off x="28575" y="60178950"/>
          <a:ext cx="2886075" cy="23812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4. Identify which predictive model is needed</a:t>
          </a:r>
        </a:p>
      </xdr:txBody>
    </xdr:sp>
    <xdr:clientData/>
  </xdr:twoCellAnchor>
  <xdr:twoCellAnchor>
    <xdr:from>
      <xdr:col>0</xdr:col>
      <xdr:colOff>28575</xdr:colOff>
      <xdr:row>340</xdr:row>
      <xdr:rowOff>123825</xdr:rowOff>
    </xdr:from>
    <xdr:to>
      <xdr:col>3</xdr:col>
      <xdr:colOff>504825</xdr:colOff>
      <xdr:row>340</xdr:row>
      <xdr:rowOff>361950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84C04FE0-ADDD-460E-9C51-3D488D75D8F2}"/>
            </a:ext>
          </a:extLst>
        </xdr:cNvPr>
        <xdr:cNvSpPr/>
      </xdr:nvSpPr>
      <xdr:spPr>
        <a:xfrm>
          <a:off x="28575" y="65932050"/>
          <a:ext cx="3162300" cy="23812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5. Encoding Categorical Variables: (Coloumn A To I)</a:t>
          </a:r>
        </a:p>
      </xdr:txBody>
    </xdr:sp>
    <xdr:clientData/>
  </xdr:twoCellAnchor>
  <xdr:twoCellAnchor>
    <xdr:from>
      <xdr:col>0</xdr:col>
      <xdr:colOff>9526</xdr:colOff>
      <xdr:row>382</xdr:row>
      <xdr:rowOff>38100</xdr:rowOff>
    </xdr:from>
    <xdr:to>
      <xdr:col>4</xdr:col>
      <xdr:colOff>200025</xdr:colOff>
      <xdr:row>382</xdr:row>
      <xdr:rowOff>333375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6E7D61B-D605-4288-8571-05C91E159F0B}"/>
            </a:ext>
          </a:extLst>
        </xdr:cNvPr>
        <xdr:cNvSpPr/>
      </xdr:nvSpPr>
      <xdr:spPr>
        <a:xfrm>
          <a:off x="9526" y="74342625"/>
          <a:ext cx="3781424" cy="29527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7. Calculate the actual and predicted tips: (Coloumn L TO</a:t>
          </a:r>
          <a:r>
            <a:rPr lang="en-GB" sz="1100" b="1" u="sng" baseline="0">
              <a:solidFill>
                <a:schemeClr val="tx1">
                  <a:lumMod val="95000"/>
                  <a:lumOff val="5000"/>
                </a:schemeClr>
              </a:solidFill>
            </a:rPr>
            <a:t> O)</a:t>
          </a:r>
          <a:endParaRPr lang="en-GB" sz="1100" b="1" u="sng">
            <a:solidFill>
              <a:schemeClr val="tx1">
                <a:lumMod val="95000"/>
                <a:lumOff val="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405</xdr:row>
      <xdr:rowOff>28575</xdr:rowOff>
    </xdr:from>
    <xdr:to>
      <xdr:col>3</xdr:col>
      <xdr:colOff>476250</xdr:colOff>
      <xdr:row>405</xdr:row>
      <xdr:rowOff>323850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ECBED50-4C04-4F8D-8361-255A7337E9C4}"/>
            </a:ext>
          </a:extLst>
        </xdr:cNvPr>
        <xdr:cNvSpPr/>
      </xdr:nvSpPr>
      <xdr:spPr>
        <a:xfrm>
          <a:off x="0" y="78924150"/>
          <a:ext cx="3162300" cy="29527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8. Model Evaluation (RMSE)</a:t>
          </a:r>
        </a:p>
      </xdr:txBody>
    </xdr:sp>
    <xdr:clientData/>
  </xdr:twoCellAnchor>
  <xdr:twoCellAnchor>
    <xdr:from>
      <xdr:col>0</xdr:col>
      <xdr:colOff>28575</xdr:colOff>
      <xdr:row>416</xdr:row>
      <xdr:rowOff>133350</xdr:rowOff>
    </xdr:from>
    <xdr:to>
      <xdr:col>3</xdr:col>
      <xdr:colOff>504825</xdr:colOff>
      <xdr:row>417</xdr:row>
      <xdr:rowOff>238125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AA3C2988-F449-4ACC-A336-E99872DDA5D3}"/>
            </a:ext>
          </a:extLst>
        </xdr:cNvPr>
        <xdr:cNvSpPr/>
      </xdr:nvSpPr>
      <xdr:spPr>
        <a:xfrm>
          <a:off x="28575" y="81372075"/>
          <a:ext cx="3162300" cy="29527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9. Percentage Error (34%) — What It Means</a:t>
          </a:r>
        </a:p>
      </xdr:txBody>
    </xdr:sp>
    <xdr:clientData/>
  </xdr:twoCellAnchor>
  <xdr:twoCellAnchor>
    <xdr:from>
      <xdr:col>0</xdr:col>
      <xdr:colOff>28575</xdr:colOff>
      <xdr:row>452</xdr:row>
      <xdr:rowOff>123825</xdr:rowOff>
    </xdr:from>
    <xdr:to>
      <xdr:col>3</xdr:col>
      <xdr:colOff>504825</xdr:colOff>
      <xdr:row>453</xdr:row>
      <xdr:rowOff>228600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B664CBE6-E34A-478C-849B-F058D3571D4D}"/>
            </a:ext>
          </a:extLst>
        </xdr:cNvPr>
        <xdr:cNvSpPr/>
      </xdr:nvSpPr>
      <xdr:spPr>
        <a:xfrm>
          <a:off x="28575" y="88582500"/>
          <a:ext cx="3162300" cy="295275"/>
        </a:xfrm>
        <a:prstGeom prst="rect">
          <a:avLst/>
        </a:prstGeom>
        <a:effectLst>
          <a:glow rad="203200">
            <a:schemeClr val="accent1">
              <a:alpha val="32000"/>
            </a:schemeClr>
          </a:glow>
          <a:outerShdw blurRad="50800" dist="38100" dir="5400000" algn="t" rotWithShape="0">
            <a:prstClr val="black">
              <a:alpha val="40000"/>
            </a:prstClr>
          </a:outerShdw>
          <a:reflection blurRad="203200" stA="37000" endPos="57000" dist="50800" dir="5400000" sy="-100000" algn="bl" rotWithShape="0"/>
          <a:softEdge rad="76200"/>
        </a:effectLst>
        <a:scene3d>
          <a:camera prst="obliqueBottomLeft"/>
          <a:lightRig rig="threePt" dir="t"/>
        </a:scene3d>
        <a:sp3d>
          <a:bevelT/>
          <a:bevelB w="114300" prst="hardEdge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 b="1" u="sng">
              <a:solidFill>
                <a:schemeClr val="tx1">
                  <a:lumMod val="95000"/>
                  <a:lumOff val="5000"/>
                </a:schemeClr>
              </a:solidFill>
            </a:rPr>
            <a:t>10. Final Conclusion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645A5EF-9563-40A5-9E23-EB9955AB6869}" name="Table3" displayName="Table3" ref="A1:O245" headerRowDxfId="0">
  <tableColumns count="15">
    <tableColumn id="1" xr3:uid="{37F5D6B4-FE09-49E2-82A9-1233039AE6E7}" name="male" totalsRowLabel="Total"/>
    <tableColumn id="2" xr3:uid="{DEF55D08-1D49-4018-AB65-F32644BE7591}" name="female"/>
    <tableColumn id="3" xr3:uid="{68799B5D-411E-4A3D-995B-FDEA9E310EBA}" name="smoker(No)"/>
    <tableColumn id="4" xr3:uid="{39E62955-AF19-44C4-9888-2F96A72A653E}" name="non smoker(yes)"/>
    <tableColumn id="5" xr3:uid="{7FEBCD02-74F9-47F5-A389-609D97138E63}" name="Fri"/>
    <tableColumn id="6" xr3:uid="{A647CA3B-062F-4456-BD66-1997FF76B791}" name="Sat"/>
    <tableColumn id="7" xr3:uid="{805AB138-ACB0-4E9F-9647-BFCF57F4A65B}" name="Sun"/>
    <tableColumn id="8" xr3:uid="{E297069C-152D-44C4-929B-9B8C67B48F34}" name="Dinner"/>
    <tableColumn id="9" xr3:uid="{8FA56701-0445-4B56-94CC-138FF4067D41}" name="lunch"/>
    <tableColumn id="10" xr3:uid="{3978A549-D2C8-45EF-8A17-91F5B2B66451}" name="size"/>
    <tableColumn id="11" xr3:uid="{12D9256D-5724-4402-987D-6208DC6CF32A}" name="total_bill"/>
    <tableColumn id="12" xr3:uid="{2F62BFC8-90BD-4F18-BC3F-492A2D563F51}" name="tip"/>
    <tableColumn id="13" xr3:uid="{68FA336A-283A-42A2-8C84-EE664DDE6A52}" name="Projected tip">
      <calculatedColumnFormula>A2*$R$30+B2*$R$32+C2*$R$31+D2*$R$33+E2*$R$34+F2*$R$35+G2*$R$36+H2*$R$37+I2*$R$38+J2*$R$39+K2*$R$40+$R$29</calculatedColumnFormula>
    </tableColumn>
    <tableColumn id="14" xr3:uid="{462FC086-6BF6-44FC-8B50-C91CCCDC337A}" name="difference">
      <calculatedColumnFormula>L2-M2</calculatedColumnFormula>
    </tableColumn>
    <tableColumn id="15" xr3:uid="{34744073-B749-4F85-A06D-04F414082EA9}" name="square" totalsRowFunction="sum">
      <calculatedColumnFormula>N2^2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Y472"/>
  <sheetViews>
    <sheetView showGridLines="0" tabSelected="1" zoomScaleNormal="100" workbookViewId="0">
      <pane ySplit="1" topLeftCell="A411" activePane="bottomLeft" state="frozen"/>
      <selection pane="bottomLeft" activeCell="F420" sqref="F420"/>
    </sheetView>
  </sheetViews>
  <sheetFormatPr defaultColWidth="13.42578125" defaultRowHeight="15" x14ac:dyDescent="0.25"/>
  <cols>
    <col min="4" max="4" width="13.5703125" customWidth="1"/>
    <col min="11" max="11" width="18" bestFit="1" customWidth="1"/>
    <col min="13" max="13" width="14.5703125" customWidth="1"/>
    <col min="14" max="14" width="25.140625" bestFit="1" customWidth="1"/>
    <col min="17" max="17" width="18" bestFit="1" customWidth="1"/>
    <col min="18" max="18" width="46" bestFit="1" customWidth="1"/>
  </cols>
  <sheetData>
    <row r="1" spans="1:18" x14ac:dyDescent="0.25">
      <c r="A1" s="12" t="s">
        <v>20</v>
      </c>
      <c r="B1" s="12" t="s">
        <v>19</v>
      </c>
      <c r="C1" s="12" t="s">
        <v>142</v>
      </c>
      <c r="D1" s="12" t="s">
        <v>143</v>
      </c>
      <c r="E1" s="12" t="s">
        <v>18</v>
      </c>
      <c r="F1" s="12" t="s">
        <v>17</v>
      </c>
      <c r="G1" s="12" t="s">
        <v>6</v>
      </c>
      <c r="H1" s="12" t="s">
        <v>7</v>
      </c>
      <c r="I1" s="12" t="s">
        <v>22</v>
      </c>
      <c r="J1" s="12" t="s">
        <v>3</v>
      </c>
      <c r="K1" s="12" t="s">
        <v>4</v>
      </c>
      <c r="L1" s="12" t="s">
        <v>5</v>
      </c>
      <c r="M1" s="12" t="s">
        <v>49</v>
      </c>
      <c r="N1" s="12" t="s">
        <v>50</v>
      </c>
      <c r="O1" s="12" t="s">
        <v>51</v>
      </c>
    </row>
    <row r="2" spans="1:18" x14ac:dyDescent="0.25">
      <c r="A2">
        <v>0</v>
      </c>
      <c r="B2">
        <v>1</v>
      </c>
      <c r="C2">
        <v>0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2</v>
      </c>
      <c r="K2">
        <v>16.989999999999998</v>
      </c>
      <c r="L2">
        <v>1.01</v>
      </c>
      <c r="M2">
        <f>A2*$R$30+B2*$R$32+C2*$R$31+D2*$R$33+E2*$R$34+F2*$R$35+G2*$R$36+H2*$R$37+I2*$R$38+J2*$R$39+K2*$R$40+$R$29</f>
        <v>2.7032139201209819</v>
      </c>
      <c r="N2">
        <f>L2-M2</f>
        <v>-1.6932139201209819</v>
      </c>
      <c r="O2">
        <f>N2^2</f>
        <v>2.8669733792914629</v>
      </c>
    </row>
    <row r="3" spans="1:18" x14ac:dyDescent="0.25">
      <c r="A3">
        <v>1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3</v>
      </c>
      <c r="K3">
        <v>10.34</v>
      </c>
      <c r="L3">
        <v>1.66</v>
      </c>
      <c r="M3">
        <f t="shared" ref="M3:M66" si="0">A3*$R$30+B3*$R$32+C3*$R$31+D3*$R$33+E3*$R$34+F3*$R$35+G3*$R$36+H3*$R$37+I3*$R$38+J3*$R$39+K3*$R$40+$R$29</f>
        <v>2.2508673330493747</v>
      </c>
      <c r="N3">
        <f t="shared" ref="N3:N66" si="1">L3-M3</f>
        <v>-0.59086733304937478</v>
      </c>
      <c r="O3">
        <f t="shared" ref="O3:O66" si="2">N3^2</f>
        <v>0.34912420526488075</v>
      </c>
      <c r="Q3" s="1" t="s">
        <v>8</v>
      </c>
      <c r="R3" s="1" t="s">
        <v>9</v>
      </c>
    </row>
    <row r="4" spans="1:18" x14ac:dyDescent="0.25">
      <c r="A4">
        <v>1</v>
      </c>
      <c r="B4">
        <v>0</v>
      </c>
      <c r="C4">
        <v>0</v>
      </c>
      <c r="D4">
        <v>1</v>
      </c>
      <c r="E4">
        <v>0</v>
      </c>
      <c r="F4">
        <v>0</v>
      </c>
      <c r="G4">
        <v>1</v>
      </c>
      <c r="H4">
        <v>1</v>
      </c>
      <c r="I4">
        <v>0</v>
      </c>
      <c r="J4">
        <v>3</v>
      </c>
      <c r="K4">
        <v>21.01</v>
      </c>
      <c r="L4">
        <v>3.5</v>
      </c>
      <c r="M4">
        <f t="shared" si="0"/>
        <v>3.2590436869492239</v>
      </c>
      <c r="N4">
        <f t="shared" si="1"/>
        <v>0.24095631305077614</v>
      </c>
      <c r="O4">
        <f t="shared" si="2"/>
        <v>5.8059944799023634E-2</v>
      </c>
      <c r="Q4" s="1" t="s">
        <v>0</v>
      </c>
      <c r="R4" s="1" t="s">
        <v>10</v>
      </c>
    </row>
    <row r="5" spans="1:18" x14ac:dyDescent="0.25">
      <c r="A5">
        <v>1</v>
      </c>
      <c r="B5">
        <v>0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2</v>
      </c>
      <c r="K5">
        <v>23.68</v>
      </c>
      <c r="L5">
        <v>3.31</v>
      </c>
      <c r="M5">
        <f t="shared" si="0"/>
        <v>3.3353319901856482</v>
      </c>
      <c r="N5">
        <f t="shared" si="1"/>
        <v>-2.5331990185648134E-2</v>
      </c>
      <c r="O5">
        <f t="shared" si="2"/>
        <v>6.4170972676577339E-4</v>
      </c>
      <c r="Q5" s="1" t="s">
        <v>1</v>
      </c>
      <c r="R5" s="1" t="s">
        <v>11</v>
      </c>
    </row>
    <row r="6" spans="1:18" x14ac:dyDescent="0.25">
      <c r="A6">
        <v>0</v>
      </c>
      <c r="B6">
        <v>1</v>
      </c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0</v>
      </c>
      <c r="J6">
        <v>4</v>
      </c>
      <c r="K6">
        <v>24.59</v>
      </c>
      <c r="M6">
        <f t="shared" si="0"/>
        <v>3.77329917114242</v>
      </c>
      <c r="N6">
        <f t="shared" si="1"/>
        <v>-3.77329917114242</v>
      </c>
      <c r="O6">
        <f t="shared" si="2"/>
        <v>14.237786634944074</v>
      </c>
      <c r="Q6" s="1" t="s">
        <v>2</v>
      </c>
      <c r="R6" s="1" t="s">
        <v>12</v>
      </c>
    </row>
    <row r="7" spans="1:18" x14ac:dyDescent="0.25">
      <c r="A7">
        <v>1</v>
      </c>
      <c r="B7">
        <v>0</v>
      </c>
      <c r="C7">
        <v>0</v>
      </c>
      <c r="D7">
        <v>1</v>
      </c>
      <c r="E7">
        <v>0</v>
      </c>
      <c r="F7">
        <v>0</v>
      </c>
      <c r="G7">
        <v>1</v>
      </c>
      <c r="H7">
        <v>1</v>
      </c>
      <c r="I7">
        <v>0</v>
      </c>
      <c r="J7">
        <v>4</v>
      </c>
      <c r="K7">
        <v>25.29</v>
      </c>
      <c r="L7">
        <v>4.71</v>
      </c>
      <c r="M7">
        <f t="shared" si="0"/>
        <v>3.8394400753345375</v>
      </c>
      <c r="N7">
        <f t="shared" si="1"/>
        <v>0.8705599246654625</v>
      </c>
      <c r="O7">
        <f t="shared" si="2"/>
        <v>0.75787458243353578</v>
      </c>
      <c r="Q7" s="1" t="s">
        <v>3</v>
      </c>
      <c r="R7" s="1" t="s">
        <v>13</v>
      </c>
    </row>
    <row r="8" spans="1:18" x14ac:dyDescent="0.25">
      <c r="A8">
        <v>1</v>
      </c>
      <c r="B8">
        <v>0</v>
      </c>
      <c r="C8">
        <v>0</v>
      </c>
      <c r="D8">
        <v>1</v>
      </c>
      <c r="E8">
        <v>0</v>
      </c>
      <c r="F8">
        <v>0</v>
      </c>
      <c r="G8">
        <v>1</v>
      </c>
      <c r="H8">
        <v>1</v>
      </c>
      <c r="I8">
        <v>0</v>
      </c>
      <c r="J8">
        <v>2</v>
      </c>
      <c r="K8">
        <v>8.77</v>
      </c>
      <c r="L8">
        <v>2</v>
      </c>
      <c r="M8">
        <f t="shared" si="0"/>
        <v>1.9265307308935444</v>
      </c>
      <c r="N8">
        <f t="shared" si="1"/>
        <v>7.346926910645557E-2</v>
      </c>
      <c r="O8">
        <f t="shared" si="2"/>
        <v>5.3977335030367867E-3</v>
      </c>
      <c r="Q8" s="1" t="s">
        <v>14</v>
      </c>
      <c r="R8" s="1" t="s">
        <v>15</v>
      </c>
    </row>
    <row r="9" spans="1:18" x14ac:dyDescent="0.25">
      <c r="A9">
        <v>1</v>
      </c>
      <c r="B9">
        <v>0</v>
      </c>
      <c r="C9">
        <v>0</v>
      </c>
      <c r="D9">
        <v>1</v>
      </c>
      <c r="E9">
        <v>0</v>
      </c>
      <c r="F9">
        <v>0</v>
      </c>
      <c r="G9">
        <v>1</v>
      </c>
      <c r="H9">
        <v>1</v>
      </c>
      <c r="I9">
        <v>0</v>
      </c>
      <c r="J9">
        <v>4</v>
      </c>
      <c r="K9">
        <v>26.88</v>
      </c>
      <c r="L9">
        <v>3.12</v>
      </c>
      <c r="M9">
        <f t="shared" si="0"/>
        <v>3.9896744148566325</v>
      </c>
      <c r="N9">
        <f t="shared" si="1"/>
        <v>-0.86967441485663244</v>
      </c>
      <c r="O9">
        <f t="shared" si="2"/>
        <v>0.75633358785622606</v>
      </c>
      <c r="Q9" s="1" t="s">
        <v>5</v>
      </c>
      <c r="R9" s="1" t="s">
        <v>16</v>
      </c>
    </row>
    <row r="10" spans="1:18" x14ac:dyDescent="0.25">
      <c r="A10">
        <v>1</v>
      </c>
      <c r="B10">
        <v>0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2</v>
      </c>
      <c r="K10">
        <v>15.04</v>
      </c>
      <c r="L10">
        <v>1.96</v>
      </c>
      <c r="M10">
        <f t="shared" si="0"/>
        <v>2.5189642584429404</v>
      </c>
      <c r="N10">
        <f t="shared" si="1"/>
        <v>-0.5589642584429404</v>
      </c>
      <c r="O10">
        <f t="shared" si="2"/>
        <v>0.31244104221666624</v>
      </c>
    </row>
    <row r="11" spans="1:18" x14ac:dyDescent="0.25">
      <c r="A11">
        <v>1</v>
      </c>
      <c r="B11">
        <v>0</v>
      </c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0</v>
      </c>
      <c r="J11">
        <v>2</v>
      </c>
      <c r="K11">
        <v>14.78</v>
      </c>
      <c r="L11">
        <v>3.23</v>
      </c>
      <c r="M11">
        <f t="shared" si="0"/>
        <v>2.4943976368858678</v>
      </c>
      <c r="N11">
        <f t="shared" si="1"/>
        <v>0.73560236311413219</v>
      </c>
      <c r="O11">
        <f t="shared" si="2"/>
        <v>0.54111083661909554</v>
      </c>
    </row>
    <row r="12" spans="1:18" x14ac:dyDescent="0.25">
      <c r="A12">
        <v>1</v>
      </c>
      <c r="B12">
        <v>0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2</v>
      </c>
      <c r="K12">
        <v>10.27</v>
      </c>
      <c r="L12">
        <v>1.71</v>
      </c>
      <c r="M12">
        <f t="shared" si="0"/>
        <v>2.0682612398766533</v>
      </c>
      <c r="N12">
        <f t="shared" si="1"/>
        <v>-0.35826123987665337</v>
      </c>
      <c r="O12">
        <f t="shared" si="2"/>
        <v>0.12835111599795695</v>
      </c>
    </row>
    <row r="13" spans="1:18" x14ac:dyDescent="0.25">
      <c r="A13">
        <v>0</v>
      </c>
      <c r="B13">
        <v>1</v>
      </c>
      <c r="C13">
        <v>0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4</v>
      </c>
      <c r="K13">
        <v>35.26</v>
      </c>
      <c r="L13">
        <v>5</v>
      </c>
      <c r="M13">
        <f t="shared" si="0"/>
        <v>4.7814755250422687</v>
      </c>
      <c r="N13">
        <f t="shared" si="1"/>
        <v>0.21852447495773131</v>
      </c>
      <c r="O13">
        <f t="shared" si="2"/>
        <v>4.7752946155552138E-2</v>
      </c>
      <c r="Q13" t="s">
        <v>23</v>
      </c>
    </row>
    <row r="14" spans="1:18" ht="15.75" thickBot="1" x14ac:dyDescent="0.3">
      <c r="A14">
        <v>1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2</v>
      </c>
      <c r="K14">
        <v>15.42</v>
      </c>
      <c r="L14">
        <v>1.57</v>
      </c>
      <c r="M14">
        <f t="shared" si="0"/>
        <v>2.5548693207186615</v>
      </c>
      <c r="N14">
        <f t="shared" si="1"/>
        <v>-0.9848693207186614</v>
      </c>
      <c r="O14">
        <f t="shared" si="2"/>
        <v>0.96996757889283758</v>
      </c>
    </row>
    <row r="15" spans="1:18" x14ac:dyDescent="0.25">
      <c r="A15">
        <v>1</v>
      </c>
      <c r="B15">
        <v>0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>
        <v>4</v>
      </c>
      <c r="K15">
        <v>18.43</v>
      </c>
      <c r="L15">
        <v>3</v>
      </c>
      <c r="M15">
        <f t="shared" si="0"/>
        <v>3.1912592142517857</v>
      </c>
      <c r="N15">
        <f t="shared" si="1"/>
        <v>-0.19125921425178571</v>
      </c>
      <c r="O15">
        <f t="shared" si="2"/>
        <v>3.6580087036210469E-2</v>
      </c>
      <c r="Q15" s="4" t="s">
        <v>24</v>
      </c>
      <c r="R15" s="4"/>
    </row>
    <row r="16" spans="1:18" x14ac:dyDescent="0.25">
      <c r="A16">
        <v>0</v>
      </c>
      <c r="B16">
        <v>1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2</v>
      </c>
      <c r="K16">
        <v>14.83</v>
      </c>
      <c r="L16">
        <v>3.02</v>
      </c>
      <c r="M16">
        <f t="shared" si="0"/>
        <v>2.4991219871853048</v>
      </c>
      <c r="N16">
        <f t="shared" si="1"/>
        <v>0.52087801281469526</v>
      </c>
      <c r="O16">
        <f t="shared" si="2"/>
        <v>0.27131390423378582</v>
      </c>
      <c r="Q16" t="s">
        <v>25</v>
      </c>
      <c r="R16">
        <v>0.68562243488716768</v>
      </c>
    </row>
    <row r="17" spans="1:25" x14ac:dyDescent="0.25">
      <c r="A17">
        <v>1</v>
      </c>
      <c r="B17">
        <v>0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2</v>
      </c>
      <c r="K17">
        <v>21.58</v>
      </c>
      <c r="L17">
        <v>3.92</v>
      </c>
      <c r="M17">
        <f t="shared" si="0"/>
        <v>3.1369092776092948</v>
      </c>
      <c r="N17">
        <f t="shared" si="1"/>
        <v>0.7830907223907051</v>
      </c>
      <c r="O17">
        <f t="shared" si="2"/>
        <v>0.61323107949439637</v>
      </c>
      <c r="Q17" t="s">
        <v>26</v>
      </c>
      <c r="R17" s="26">
        <v>0.47007812322060849</v>
      </c>
    </row>
    <row r="18" spans="1:25" x14ac:dyDescent="0.25">
      <c r="A18">
        <v>0</v>
      </c>
      <c r="B18">
        <v>1</v>
      </c>
      <c r="C18">
        <v>0</v>
      </c>
      <c r="D18">
        <v>1</v>
      </c>
      <c r="E18">
        <v>0</v>
      </c>
      <c r="F18">
        <v>0</v>
      </c>
      <c r="G18">
        <v>1</v>
      </c>
      <c r="H18">
        <v>1</v>
      </c>
      <c r="I18">
        <v>0</v>
      </c>
      <c r="J18">
        <v>3</v>
      </c>
      <c r="K18">
        <v>10.33</v>
      </c>
      <c r="L18">
        <v>1.67</v>
      </c>
      <c r="M18">
        <f t="shared" si="0"/>
        <v>2.2499224629894874</v>
      </c>
      <c r="N18">
        <f t="shared" si="1"/>
        <v>-0.57992246298948746</v>
      </c>
      <c r="O18">
        <f t="shared" si="2"/>
        <v>0.33631006307979344</v>
      </c>
      <c r="Q18" t="s">
        <v>27</v>
      </c>
      <c r="R18">
        <v>0.43927227209620368</v>
      </c>
    </row>
    <row r="19" spans="1:25" x14ac:dyDescent="0.25">
      <c r="A19">
        <v>1</v>
      </c>
      <c r="B19">
        <v>0</v>
      </c>
      <c r="C19">
        <v>0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3</v>
      </c>
      <c r="K19">
        <v>16.29</v>
      </c>
      <c r="L19">
        <v>3.71</v>
      </c>
      <c r="M19">
        <f t="shared" si="0"/>
        <v>2.8130650186823738</v>
      </c>
      <c r="N19">
        <f t="shared" si="1"/>
        <v>0.89693498131762617</v>
      </c>
      <c r="O19">
        <f t="shared" si="2"/>
        <v>0.80449236071125041</v>
      </c>
      <c r="Q19" t="s">
        <v>28</v>
      </c>
      <c r="R19">
        <v>1.0242304198432619</v>
      </c>
    </row>
    <row r="20" spans="1:25" ht="15.75" thickBot="1" x14ac:dyDescent="0.3">
      <c r="A20">
        <v>0</v>
      </c>
      <c r="B20">
        <v>1</v>
      </c>
      <c r="C20">
        <v>0</v>
      </c>
      <c r="D20">
        <v>1</v>
      </c>
      <c r="E20">
        <v>0</v>
      </c>
      <c r="F20">
        <v>0</v>
      </c>
      <c r="G20">
        <v>1</v>
      </c>
      <c r="H20">
        <v>1</v>
      </c>
      <c r="I20">
        <v>0</v>
      </c>
      <c r="J20">
        <v>3</v>
      </c>
      <c r="K20">
        <v>16.97</v>
      </c>
      <c r="L20">
        <v>3.5</v>
      </c>
      <c r="M20">
        <f t="shared" si="0"/>
        <v>2.8773161827547167</v>
      </c>
      <c r="N20">
        <f t="shared" si="1"/>
        <v>0.62268381724528332</v>
      </c>
      <c r="O20">
        <f t="shared" si="2"/>
        <v>0.3877351362591574</v>
      </c>
      <c r="Q20" s="2" t="s">
        <v>29</v>
      </c>
      <c r="R20" s="2">
        <v>244</v>
      </c>
    </row>
    <row r="21" spans="1:25" x14ac:dyDescent="0.25">
      <c r="A21">
        <v>1</v>
      </c>
      <c r="B21">
        <v>0</v>
      </c>
      <c r="C21">
        <v>0</v>
      </c>
      <c r="D21">
        <v>1</v>
      </c>
      <c r="E21">
        <v>0</v>
      </c>
      <c r="F21">
        <v>1</v>
      </c>
      <c r="G21">
        <v>0</v>
      </c>
      <c r="H21">
        <v>1</v>
      </c>
      <c r="I21">
        <v>0</v>
      </c>
      <c r="J21">
        <v>3</v>
      </c>
      <c r="K21">
        <v>20.65</v>
      </c>
      <c r="L21">
        <v>3.35</v>
      </c>
      <c r="M21">
        <f t="shared" si="0"/>
        <v>3.1290506481833331</v>
      </c>
      <c r="N21">
        <f t="shared" si="1"/>
        <v>0.22094935181666697</v>
      </c>
      <c r="O21">
        <f t="shared" si="2"/>
        <v>4.8818616068205277E-2</v>
      </c>
    </row>
    <row r="22" spans="1:25" ht="15.75" thickBot="1" x14ac:dyDescent="0.3">
      <c r="A22">
        <v>1</v>
      </c>
      <c r="B22">
        <v>0</v>
      </c>
      <c r="C22">
        <v>0</v>
      </c>
      <c r="D22">
        <v>1</v>
      </c>
      <c r="E22">
        <v>0</v>
      </c>
      <c r="F22">
        <v>1</v>
      </c>
      <c r="G22">
        <v>0</v>
      </c>
      <c r="H22">
        <v>1</v>
      </c>
      <c r="I22">
        <v>0</v>
      </c>
      <c r="J22">
        <v>2</v>
      </c>
      <c r="K22">
        <v>17.920000000000002</v>
      </c>
      <c r="L22">
        <v>4.08</v>
      </c>
      <c r="M22">
        <f t="shared" si="0"/>
        <v>2.6951091190805654</v>
      </c>
      <c r="N22">
        <f t="shared" si="1"/>
        <v>1.3848908809194347</v>
      </c>
      <c r="O22">
        <f t="shared" si="2"/>
        <v>1.9179227520538078</v>
      </c>
      <c r="Q22" t="s">
        <v>30</v>
      </c>
    </row>
    <row r="23" spans="1:25" x14ac:dyDescent="0.25">
      <c r="A23">
        <v>0</v>
      </c>
      <c r="B23">
        <v>1</v>
      </c>
      <c r="C23">
        <v>0</v>
      </c>
      <c r="D23">
        <v>1</v>
      </c>
      <c r="E23">
        <v>0</v>
      </c>
      <c r="F23">
        <v>1</v>
      </c>
      <c r="G23">
        <v>0</v>
      </c>
      <c r="H23">
        <v>1</v>
      </c>
      <c r="I23">
        <v>0</v>
      </c>
      <c r="J23">
        <v>2</v>
      </c>
      <c r="K23">
        <v>20.29</v>
      </c>
      <c r="L23">
        <v>2.75</v>
      </c>
      <c r="M23">
        <f t="shared" si="0"/>
        <v>2.9190433232738773</v>
      </c>
      <c r="N23">
        <f t="shared" si="1"/>
        <v>-0.16904332327387728</v>
      </c>
      <c r="O23">
        <f t="shared" si="2"/>
        <v>2.8575645143476578E-2</v>
      </c>
      <c r="Q23" s="3"/>
      <c r="R23" s="3" t="s">
        <v>35</v>
      </c>
      <c r="S23" s="3" t="s">
        <v>36</v>
      </c>
      <c r="T23" s="3" t="s">
        <v>37</v>
      </c>
      <c r="U23" s="3" t="s">
        <v>38</v>
      </c>
      <c r="V23" s="3" t="s">
        <v>39</v>
      </c>
    </row>
    <row r="24" spans="1:25" x14ac:dyDescent="0.25">
      <c r="A24">
        <v>0</v>
      </c>
      <c r="B24">
        <v>1</v>
      </c>
      <c r="C24">
        <v>0</v>
      </c>
      <c r="D24">
        <v>1</v>
      </c>
      <c r="E24">
        <v>0</v>
      </c>
      <c r="F24">
        <v>1</v>
      </c>
      <c r="G24">
        <v>0</v>
      </c>
      <c r="H24">
        <v>1</v>
      </c>
      <c r="I24">
        <v>0</v>
      </c>
      <c r="J24">
        <v>2</v>
      </c>
      <c r="K24">
        <v>15.77</v>
      </c>
      <c r="L24">
        <v>2.23</v>
      </c>
      <c r="M24">
        <f t="shared" si="0"/>
        <v>2.491962056204776</v>
      </c>
      <c r="N24">
        <f t="shared" si="1"/>
        <v>-0.26196205620477597</v>
      </c>
      <c r="O24">
        <f t="shared" si="2"/>
        <v>6.8624118891034203E-2</v>
      </c>
      <c r="Q24" t="s">
        <v>31</v>
      </c>
      <c r="R24">
        <v>11</v>
      </c>
      <c r="S24">
        <v>218.68620811008932</v>
      </c>
      <c r="T24">
        <v>19.880564373644486</v>
      </c>
      <c r="U24">
        <v>26.057699209413695</v>
      </c>
      <c r="V24">
        <v>8.7959813350374388E-35</v>
      </c>
    </row>
    <row r="25" spans="1:25" x14ac:dyDescent="0.25">
      <c r="A25">
        <v>1</v>
      </c>
      <c r="B25">
        <v>0</v>
      </c>
      <c r="C25">
        <v>0</v>
      </c>
      <c r="D25">
        <v>1</v>
      </c>
      <c r="E25">
        <v>0</v>
      </c>
      <c r="F25">
        <v>1</v>
      </c>
      <c r="G25">
        <v>0</v>
      </c>
      <c r="H25">
        <v>1</v>
      </c>
      <c r="I25">
        <v>0</v>
      </c>
      <c r="J25">
        <v>4</v>
      </c>
      <c r="K25">
        <v>39.42</v>
      </c>
      <c r="L25">
        <v>7.58</v>
      </c>
      <c r="M25">
        <f t="shared" si="0"/>
        <v>5.0785637533454802</v>
      </c>
      <c r="N25">
        <f t="shared" si="1"/>
        <v>2.5014362466545199</v>
      </c>
      <c r="O25">
        <f t="shared" si="2"/>
        <v>6.2571832960770521</v>
      </c>
      <c r="Q25" t="s">
        <v>32</v>
      </c>
      <c r="R25">
        <v>235</v>
      </c>
      <c r="S25">
        <v>246.52626893909152</v>
      </c>
      <c r="T25">
        <v>1.0490479529323045</v>
      </c>
    </row>
    <row r="26" spans="1:25" ht="15.75" thickBot="1" x14ac:dyDescent="0.3">
      <c r="A26">
        <v>1</v>
      </c>
      <c r="B26">
        <v>0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0</v>
      </c>
      <c r="J26">
        <v>2</v>
      </c>
      <c r="K26">
        <v>19.82</v>
      </c>
      <c r="L26">
        <v>3.18</v>
      </c>
      <c r="M26">
        <f t="shared" si="0"/>
        <v>2.87463443045917</v>
      </c>
      <c r="N26">
        <f t="shared" si="1"/>
        <v>0.30536556954083016</v>
      </c>
      <c r="O26">
        <f t="shared" si="2"/>
        <v>9.3248131060995582E-2</v>
      </c>
      <c r="Q26" s="2" t="s">
        <v>33</v>
      </c>
      <c r="R26" s="2">
        <v>246</v>
      </c>
      <c r="S26" s="2">
        <v>465.21247704918085</v>
      </c>
      <c r="T26" s="2"/>
      <c r="U26" s="2"/>
      <c r="V26" s="2"/>
    </row>
    <row r="27" spans="1:25" x14ac:dyDescent="0.25">
      <c r="A27">
        <v>1</v>
      </c>
      <c r="B27">
        <v>0</v>
      </c>
      <c r="C27">
        <v>0</v>
      </c>
      <c r="D27">
        <v>1</v>
      </c>
      <c r="E27">
        <v>0</v>
      </c>
      <c r="F27">
        <v>1</v>
      </c>
      <c r="G27">
        <v>0</v>
      </c>
      <c r="H27">
        <v>1</v>
      </c>
      <c r="I27">
        <v>0</v>
      </c>
      <c r="J27">
        <v>4</v>
      </c>
      <c r="K27">
        <v>17.809999999999999</v>
      </c>
      <c r="L27">
        <v>2.34</v>
      </c>
      <c r="M27">
        <f t="shared" si="0"/>
        <v>3.0366995539288224</v>
      </c>
      <c r="N27">
        <f t="shared" si="1"/>
        <v>-0.69669955392882255</v>
      </c>
      <c r="O27">
        <f t="shared" si="2"/>
        <v>0.4853902684446203</v>
      </c>
    </row>
    <row r="28" spans="1:25" x14ac:dyDescent="0.25">
      <c r="A28">
        <v>1</v>
      </c>
      <c r="B28">
        <v>0</v>
      </c>
      <c r="C28">
        <v>0</v>
      </c>
      <c r="D28">
        <v>1</v>
      </c>
      <c r="E28">
        <v>0</v>
      </c>
      <c r="F28">
        <v>1</v>
      </c>
      <c r="G28">
        <v>0</v>
      </c>
      <c r="H28">
        <v>1</v>
      </c>
      <c r="I28">
        <v>0</v>
      </c>
      <c r="J28">
        <v>2</v>
      </c>
      <c r="K28">
        <v>13.37</v>
      </c>
      <c r="L28">
        <v>2</v>
      </c>
      <c r="M28">
        <f t="shared" si="0"/>
        <v>2.2651932418318008</v>
      </c>
      <c r="N28">
        <f t="shared" si="1"/>
        <v>-0.26519324183180082</v>
      </c>
      <c r="O28">
        <f t="shared" si="2"/>
        <v>7.0327455513259987E-2</v>
      </c>
      <c r="Q28" s="3"/>
      <c r="R28" s="3" t="s">
        <v>40</v>
      </c>
      <c r="S28" s="3" t="s">
        <v>28</v>
      </c>
      <c r="T28" s="3" t="s">
        <v>41</v>
      </c>
      <c r="U28" s="3" t="s">
        <v>42</v>
      </c>
      <c r="V28" s="3" t="s">
        <v>43</v>
      </c>
      <c r="W28" s="3" t="s">
        <v>44</v>
      </c>
      <c r="X28" s="3" t="s">
        <v>45</v>
      </c>
      <c r="Y28" s="3" t="s">
        <v>46</v>
      </c>
    </row>
    <row r="29" spans="1:25" x14ac:dyDescent="0.25">
      <c r="A29">
        <v>1</v>
      </c>
      <c r="B29">
        <v>0</v>
      </c>
      <c r="C29">
        <v>0</v>
      </c>
      <c r="D29">
        <v>1</v>
      </c>
      <c r="E29">
        <v>0</v>
      </c>
      <c r="F29">
        <v>1</v>
      </c>
      <c r="G29">
        <v>0</v>
      </c>
      <c r="H29">
        <v>1</v>
      </c>
      <c r="I29">
        <v>0</v>
      </c>
      <c r="J29">
        <v>2</v>
      </c>
      <c r="K29">
        <v>12.69</v>
      </c>
      <c r="L29">
        <v>2</v>
      </c>
      <c r="M29">
        <f t="shared" si="0"/>
        <v>2.2009420777594584</v>
      </c>
      <c r="N29">
        <f t="shared" si="1"/>
        <v>-0.20094207775945838</v>
      </c>
      <c r="O29">
        <f t="shared" si="2"/>
        <v>4.0377718614288217E-2</v>
      </c>
      <c r="Q29" t="s">
        <v>34</v>
      </c>
      <c r="R29">
        <v>0.59083742595140554</v>
      </c>
      <c r="S29">
        <v>0.25582895486376933</v>
      </c>
      <c r="T29">
        <v>2.3095017773341198</v>
      </c>
      <c r="U29">
        <v>2.178369263569719E-2</v>
      </c>
      <c r="V29">
        <v>8.6826227754760676E-2</v>
      </c>
      <c r="W29">
        <v>1.0948486241480504</v>
      </c>
      <c r="X29">
        <v>8.6826227754760676E-2</v>
      </c>
      <c r="Y29">
        <v>1.0948486241480504</v>
      </c>
    </row>
    <row r="30" spans="1:25" x14ac:dyDescent="0.25">
      <c r="A30">
        <v>1</v>
      </c>
      <c r="B30">
        <v>0</v>
      </c>
      <c r="C30">
        <v>0</v>
      </c>
      <c r="D30">
        <v>1</v>
      </c>
      <c r="E30">
        <v>0</v>
      </c>
      <c r="F30">
        <v>1</v>
      </c>
      <c r="G30">
        <v>0</v>
      </c>
      <c r="H30">
        <v>1</v>
      </c>
      <c r="I30">
        <v>0</v>
      </c>
      <c r="J30">
        <v>2</v>
      </c>
      <c r="K30">
        <v>21.7</v>
      </c>
      <c r="L30">
        <v>4.3</v>
      </c>
      <c r="M30">
        <f t="shared" si="0"/>
        <v>3.052270001718</v>
      </c>
      <c r="N30">
        <f t="shared" si="1"/>
        <v>1.2477299982819998</v>
      </c>
      <c r="O30">
        <f t="shared" si="2"/>
        <v>1.5568301486127993</v>
      </c>
      <c r="Q30" t="s">
        <v>20</v>
      </c>
      <c r="R30">
        <v>0</v>
      </c>
      <c r="S30">
        <v>0</v>
      </c>
      <c r="T30" t="e">
        <v>#NUM!</v>
      </c>
      <c r="U30" t="e">
        <v>#NUM!</v>
      </c>
      <c r="V30">
        <v>0</v>
      </c>
      <c r="W30">
        <v>0</v>
      </c>
      <c r="X30">
        <v>0</v>
      </c>
      <c r="Y30">
        <v>0</v>
      </c>
    </row>
    <row r="31" spans="1:25" x14ac:dyDescent="0.25">
      <c r="A31">
        <v>0</v>
      </c>
      <c r="B31">
        <v>1</v>
      </c>
      <c r="C31">
        <v>0</v>
      </c>
      <c r="D31">
        <v>1</v>
      </c>
      <c r="E31">
        <v>0</v>
      </c>
      <c r="F31">
        <v>1</v>
      </c>
      <c r="G31">
        <v>0</v>
      </c>
      <c r="H31">
        <v>1</v>
      </c>
      <c r="I31">
        <v>0</v>
      </c>
      <c r="J31">
        <v>2</v>
      </c>
      <c r="K31">
        <v>19.649999999999999</v>
      </c>
      <c r="L31">
        <v>3</v>
      </c>
      <c r="M31">
        <f t="shared" si="0"/>
        <v>2.8585716394410845</v>
      </c>
      <c r="N31">
        <f t="shared" si="1"/>
        <v>0.1414283605589155</v>
      </c>
      <c r="O31">
        <f t="shared" si="2"/>
        <v>2.0001981170382606E-2</v>
      </c>
      <c r="Q31" t="s">
        <v>19</v>
      </c>
      <c r="R31">
        <v>3.2440940330165792E-2</v>
      </c>
      <c r="S31">
        <v>0.14161215788635251</v>
      </c>
      <c r="T31">
        <v>0.2290830167011543</v>
      </c>
      <c r="U31">
        <v>0.81900363551880506</v>
      </c>
      <c r="V31">
        <v>-0.2465505968612369</v>
      </c>
      <c r="W31">
        <v>0.3114324775215685</v>
      </c>
      <c r="X31">
        <v>-0.2465505968612369</v>
      </c>
      <c r="Y31">
        <v>0.3114324775215685</v>
      </c>
    </row>
    <row r="32" spans="1:25" x14ac:dyDescent="0.25">
      <c r="A32">
        <v>1</v>
      </c>
      <c r="B32">
        <v>0</v>
      </c>
      <c r="C32">
        <v>0</v>
      </c>
      <c r="D32">
        <v>1</v>
      </c>
      <c r="E32">
        <v>0</v>
      </c>
      <c r="F32">
        <v>1</v>
      </c>
      <c r="G32">
        <v>0</v>
      </c>
      <c r="H32">
        <v>1</v>
      </c>
      <c r="I32">
        <v>0</v>
      </c>
      <c r="J32">
        <v>2</v>
      </c>
      <c r="K32">
        <v>9.5500000000000007</v>
      </c>
      <c r="L32">
        <v>1.45</v>
      </c>
      <c r="M32">
        <f t="shared" si="0"/>
        <v>1.904252878954817</v>
      </c>
      <c r="N32">
        <f t="shared" si="1"/>
        <v>-0.45425287895481703</v>
      </c>
      <c r="O32">
        <f t="shared" si="2"/>
        <v>0.20634567803873965</v>
      </c>
      <c r="Q32" t="s">
        <v>0</v>
      </c>
      <c r="R32">
        <v>0</v>
      </c>
      <c r="S32">
        <v>0</v>
      </c>
      <c r="T32" t="e">
        <v>#NUM!</v>
      </c>
      <c r="U32" t="e">
        <v>#NUM!</v>
      </c>
      <c r="V32">
        <v>0</v>
      </c>
      <c r="W32">
        <v>0</v>
      </c>
      <c r="X32">
        <v>0</v>
      </c>
      <c r="Y32">
        <v>0</v>
      </c>
    </row>
    <row r="33" spans="1:25" x14ac:dyDescent="0.25">
      <c r="A33">
        <v>1</v>
      </c>
      <c r="B33">
        <v>0</v>
      </c>
      <c r="C33">
        <v>0</v>
      </c>
      <c r="D33">
        <v>1</v>
      </c>
      <c r="E33">
        <v>0</v>
      </c>
      <c r="F33">
        <v>1</v>
      </c>
      <c r="G33">
        <v>0</v>
      </c>
      <c r="H33">
        <v>1</v>
      </c>
      <c r="I33">
        <v>0</v>
      </c>
      <c r="J33">
        <v>4</v>
      </c>
      <c r="K33">
        <v>18.350000000000001</v>
      </c>
      <c r="L33">
        <v>2.5</v>
      </c>
      <c r="M33">
        <f t="shared" si="0"/>
        <v>3.0877225371627421</v>
      </c>
      <c r="N33">
        <f t="shared" si="1"/>
        <v>-0.58772253716274214</v>
      </c>
      <c r="O33">
        <f t="shared" si="2"/>
        <v>0.3454177806890108</v>
      </c>
      <c r="Q33" t="s">
        <v>21</v>
      </c>
      <c r="R33">
        <v>8.6408320163133948E-2</v>
      </c>
      <c r="S33">
        <v>0.14658707253313827</v>
      </c>
      <c r="T33">
        <v>0.58946753400508778</v>
      </c>
      <c r="U33">
        <v>0.55611395856140766</v>
      </c>
      <c r="V33">
        <v>-0.20238434643282638</v>
      </c>
      <c r="W33">
        <v>0.37520098675909425</v>
      </c>
      <c r="X33">
        <v>-0.20238434643282638</v>
      </c>
      <c r="Y33">
        <v>0.37520098675909425</v>
      </c>
    </row>
    <row r="34" spans="1:25" x14ac:dyDescent="0.25">
      <c r="A34">
        <v>0</v>
      </c>
      <c r="B34">
        <v>1</v>
      </c>
      <c r="C34">
        <v>0</v>
      </c>
      <c r="D34">
        <v>1</v>
      </c>
      <c r="E34">
        <v>0</v>
      </c>
      <c r="F34">
        <v>1</v>
      </c>
      <c r="G34">
        <v>0</v>
      </c>
      <c r="H34">
        <v>1</v>
      </c>
      <c r="I34">
        <v>0</v>
      </c>
      <c r="J34">
        <v>2</v>
      </c>
      <c r="K34">
        <v>15.06</v>
      </c>
      <c r="L34">
        <v>3</v>
      </c>
      <c r="M34">
        <f t="shared" si="0"/>
        <v>2.4248762819527707</v>
      </c>
      <c r="N34">
        <f t="shared" si="1"/>
        <v>0.57512371804722928</v>
      </c>
      <c r="O34">
        <f t="shared" si="2"/>
        <v>0.33076729106046887</v>
      </c>
      <c r="Q34" t="s">
        <v>18</v>
      </c>
      <c r="R34">
        <v>0.16225919759406748</v>
      </c>
      <c r="S34">
        <v>0.39340534371038915</v>
      </c>
      <c r="T34">
        <v>0.41244787389953924</v>
      </c>
      <c r="U34">
        <v>0.68038719242522006</v>
      </c>
      <c r="V34">
        <v>-0.61279262859981265</v>
      </c>
      <c r="W34">
        <v>0.93731102378794762</v>
      </c>
      <c r="X34">
        <v>-0.61279262859981265</v>
      </c>
      <c r="Y34">
        <v>0.93731102378794762</v>
      </c>
    </row>
    <row r="35" spans="1:25" x14ac:dyDescent="0.25">
      <c r="A35">
        <v>0</v>
      </c>
      <c r="B35">
        <v>1</v>
      </c>
      <c r="C35">
        <v>0</v>
      </c>
      <c r="D35">
        <v>1</v>
      </c>
      <c r="E35">
        <v>0</v>
      </c>
      <c r="F35">
        <v>1</v>
      </c>
      <c r="G35">
        <v>0</v>
      </c>
      <c r="H35">
        <v>1</v>
      </c>
      <c r="I35">
        <v>0</v>
      </c>
      <c r="J35">
        <v>4</v>
      </c>
      <c r="K35">
        <v>20.69</v>
      </c>
      <c r="L35">
        <v>2.4500000000000002</v>
      </c>
      <c r="M35">
        <f t="shared" si="0"/>
        <v>3.3088221311763926</v>
      </c>
      <c r="N35">
        <f t="shared" si="1"/>
        <v>-0.85882213117639239</v>
      </c>
      <c r="O35">
        <f t="shared" si="2"/>
        <v>0.73757545299836058</v>
      </c>
      <c r="Q35" t="s">
        <v>17</v>
      </c>
      <c r="R35">
        <v>4.0800821202362544E-2</v>
      </c>
      <c r="S35">
        <v>0.47060355138905396</v>
      </c>
      <c r="T35">
        <v>8.6698923291022897E-2</v>
      </c>
      <c r="U35">
        <v>0.93098465881731374</v>
      </c>
      <c r="V35">
        <v>-0.88633997072831816</v>
      </c>
      <c r="W35">
        <v>0.96794161313304317</v>
      </c>
      <c r="X35">
        <v>-0.88633997072831816</v>
      </c>
      <c r="Y35">
        <v>0.96794161313304317</v>
      </c>
    </row>
    <row r="36" spans="1:25" x14ac:dyDescent="0.25">
      <c r="A36">
        <v>1</v>
      </c>
      <c r="B36">
        <v>0</v>
      </c>
      <c r="C36">
        <v>0</v>
      </c>
      <c r="D36">
        <v>1</v>
      </c>
      <c r="E36">
        <v>0</v>
      </c>
      <c r="F36">
        <v>1</v>
      </c>
      <c r="G36">
        <v>0</v>
      </c>
      <c r="H36">
        <v>1</v>
      </c>
      <c r="I36">
        <v>0</v>
      </c>
      <c r="J36">
        <v>2</v>
      </c>
      <c r="K36">
        <v>17.78</v>
      </c>
      <c r="L36">
        <v>3.27</v>
      </c>
      <c r="M36">
        <f t="shared" si="0"/>
        <v>2.6818809382421414</v>
      </c>
      <c r="N36">
        <f t="shared" si="1"/>
        <v>0.58811906175785866</v>
      </c>
      <c r="O36">
        <f t="shared" si="2"/>
        <v>0.345884030802944</v>
      </c>
      <c r="Q36" t="s">
        <v>6</v>
      </c>
      <c r="R36">
        <v>0.13677853781230684</v>
      </c>
      <c r="S36">
        <v>0.47169630235932686</v>
      </c>
      <c r="T36">
        <v>0.28997161336260008</v>
      </c>
      <c r="U36">
        <v>0.77209365055587198</v>
      </c>
      <c r="V36">
        <v>-0.79251509380046159</v>
      </c>
      <c r="W36">
        <v>1.0660721694250752</v>
      </c>
      <c r="X36">
        <v>-0.79251509380046159</v>
      </c>
      <c r="Y36">
        <v>1.0660721694250752</v>
      </c>
    </row>
    <row r="37" spans="1:25" x14ac:dyDescent="0.25">
      <c r="A37">
        <v>1</v>
      </c>
      <c r="B37">
        <v>0</v>
      </c>
      <c r="C37">
        <v>0</v>
      </c>
      <c r="D37">
        <v>1</v>
      </c>
      <c r="E37">
        <v>0</v>
      </c>
      <c r="F37">
        <v>1</v>
      </c>
      <c r="G37">
        <v>0</v>
      </c>
      <c r="H37">
        <v>1</v>
      </c>
      <c r="I37">
        <v>0</v>
      </c>
      <c r="J37">
        <v>3</v>
      </c>
      <c r="K37">
        <v>24.06</v>
      </c>
      <c r="L37">
        <v>3.6</v>
      </c>
      <c r="M37">
        <f t="shared" si="0"/>
        <v>3.4512513386049335</v>
      </c>
      <c r="N37">
        <f t="shared" si="1"/>
        <v>0.14874866139506659</v>
      </c>
      <c r="O37">
        <f t="shared" si="2"/>
        <v>2.2126164266824174E-2</v>
      </c>
      <c r="Q37" t="s">
        <v>7</v>
      </c>
      <c r="R37">
        <v>-6.8128601061564834E-2</v>
      </c>
      <c r="S37">
        <v>0.4446168575681122</v>
      </c>
      <c r="T37">
        <v>-0.15322990998182745</v>
      </c>
      <c r="U37">
        <v>0.87834846371856279</v>
      </c>
      <c r="V37">
        <v>-0.94407274601052771</v>
      </c>
      <c r="W37">
        <v>0.80781554388739807</v>
      </c>
      <c r="X37">
        <v>-0.94407274601052771</v>
      </c>
      <c r="Y37">
        <v>0.80781554388739807</v>
      </c>
    </row>
    <row r="38" spans="1:25" x14ac:dyDescent="0.25">
      <c r="A38">
        <v>1</v>
      </c>
      <c r="B38">
        <v>0</v>
      </c>
      <c r="C38">
        <v>0</v>
      </c>
      <c r="D38">
        <v>1</v>
      </c>
      <c r="E38">
        <v>0</v>
      </c>
      <c r="F38">
        <v>1</v>
      </c>
      <c r="G38">
        <v>0</v>
      </c>
      <c r="H38">
        <v>1</v>
      </c>
      <c r="I38">
        <v>0</v>
      </c>
      <c r="J38">
        <v>3</v>
      </c>
      <c r="K38">
        <v>16.309999999999999</v>
      </c>
      <c r="L38">
        <v>2</v>
      </c>
      <c r="M38">
        <f t="shared" si="0"/>
        <v>2.7189770421922042</v>
      </c>
      <c r="N38">
        <f t="shared" si="1"/>
        <v>-0.71897704219220415</v>
      </c>
      <c r="O38">
        <f t="shared" si="2"/>
        <v>0.51692798719945054</v>
      </c>
      <c r="Q38" t="s">
        <v>22</v>
      </c>
      <c r="R38">
        <v>0</v>
      </c>
      <c r="S38">
        <v>0</v>
      </c>
      <c r="T38" t="e">
        <v>#NUM!</v>
      </c>
      <c r="U38" t="e">
        <v>#NUM!</v>
      </c>
      <c r="V38">
        <v>0</v>
      </c>
      <c r="W38">
        <v>0</v>
      </c>
      <c r="X38">
        <v>0</v>
      </c>
      <c r="Y38">
        <v>0</v>
      </c>
    </row>
    <row r="39" spans="1:25" x14ac:dyDescent="0.25">
      <c r="A39">
        <v>0</v>
      </c>
      <c r="B39">
        <v>1</v>
      </c>
      <c r="C39">
        <v>0</v>
      </c>
      <c r="D39">
        <v>1</v>
      </c>
      <c r="E39">
        <v>0</v>
      </c>
      <c r="F39">
        <v>1</v>
      </c>
      <c r="G39">
        <v>0</v>
      </c>
      <c r="H39">
        <v>1</v>
      </c>
      <c r="I39">
        <v>0</v>
      </c>
      <c r="J39">
        <v>3</v>
      </c>
      <c r="K39">
        <v>16.93</v>
      </c>
      <c r="L39">
        <v>3.07</v>
      </c>
      <c r="M39">
        <f t="shared" si="0"/>
        <v>2.7775589859052223</v>
      </c>
      <c r="N39">
        <f t="shared" si="1"/>
        <v>0.29244101409477752</v>
      </c>
      <c r="O39">
        <f t="shared" si="2"/>
        <v>8.5521746724781869E-2</v>
      </c>
      <c r="Q39" t="s">
        <v>3</v>
      </c>
      <c r="R39">
        <v>0.17599200275350943</v>
      </c>
      <c r="S39">
        <v>8.9527742819476716E-2</v>
      </c>
      <c r="T39">
        <v>1.9657817477692787</v>
      </c>
      <c r="U39">
        <v>5.0501340226908498E-2</v>
      </c>
      <c r="V39">
        <v>-3.8750422729277867E-4</v>
      </c>
      <c r="W39">
        <v>0.35237150973431164</v>
      </c>
      <c r="X39">
        <v>-3.8750422729277867E-4</v>
      </c>
      <c r="Y39">
        <v>0.35237150973431164</v>
      </c>
    </row>
    <row r="40" spans="1:25" ht="15.75" thickBot="1" x14ac:dyDescent="0.3">
      <c r="A40">
        <v>1</v>
      </c>
      <c r="B40">
        <v>0</v>
      </c>
      <c r="C40">
        <v>0</v>
      </c>
      <c r="D40">
        <v>1</v>
      </c>
      <c r="E40">
        <v>0</v>
      </c>
      <c r="F40">
        <v>1</v>
      </c>
      <c r="G40">
        <v>0</v>
      </c>
      <c r="H40">
        <v>1</v>
      </c>
      <c r="I40">
        <v>0</v>
      </c>
      <c r="J40">
        <v>3</v>
      </c>
      <c r="K40">
        <v>18.690000000000001</v>
      </c>
      <c r="L40">
        <v>2.31</v>
      </c>
      <c r="M40">
        <f t="shared" si="0"/>
        <v>2.9438561164454038</v>
      </c>
      <c r="N40">
        <f t="shared" si="1"/>
        <v>-0.63385611644540374</v>
      </c>
      <c r="O40">
        <f t="shared" si="2"/>
        <v>0.40177357635524924</v>
      </c>
      <c r="Q40" s="2" t="s">
        <v>4</v>
      </c>
      <c r="R40" s="2">
        <v>9.4487005988739353E-2</v>
      </c>
      <c r="S40" s="2">
        <v>9.6013990993914691E-3</v>
      </c>
      <c r="T40" s="2">
        <v>9.8409622400476913</v>
      </c>
      <c r="U40" s="27">
        <v>2.3425259720156345E-19</v>
      </c>
      <c r="V40" s="2">
        <v>7.5571193011176291E-2</v>
      </c>
      <c r="W40" s="2">
        <v>0.11340281896630242</v>
      </c>
      <c r="X40" s="2">
        <v>7.5571193011176291E-2</v>
      </c>
      <c r="Y40" s="2">
        <v>0.11340281896630242</v>
      </c>
    </row>
    <row r="41" spans="1:25" x14ac:dyDescent="0.25">
      <c r="A41">
        <v>1</v>
      </c>
      <c r="B41">
        <v>0</v>
      </c>
      <c r="C41">
        <v>0</v>
      </c>
      <c r="D41">
        <v>1</v>
      </c>
      <c r="E41">
        <v>0</v>
      </c>
      <c r="F41">
        <v>1</v>
      </c>
      <c r="G41">
        <v>0</v>
      </c>
      <c r="H41">
        <v>1</v>
      </c>
      <c r="I41">
        <v>0</v>
      </c>
      <c r="J41">
        <v>3</v>
      </c>
      <c r="K41">
        <v>31.27</v>
      </c>
      <c r="L41">
        <v>5</v>
      </c>
      <c r="M41">
        <f t="shared" si="0"/>
        <v>4.1325026517837449</v>
      </c>
      <c r="N41">
        <f t="shared" si="1"/>
        <v>0.86749734821625513</v>
      </c>
      <c r="O41">
        <f t="shared" si="2"/>
        <v>0.7525516491622346</v>
      </c>
    </row>
    <row r="42" spans="1:25" x14ac:dyDescent="0.25">
      <c r="A42">
        <v>1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1</v>
      </c>
      <c r="I42">
        <v>0</v>
      </c>
      <c r="J42">
        <v>3</v>
      </c>
      <c r="K42">
        <v>16.04</v>
      </c>
      <c r="L42">
        <v>2.2400000000000002</v>
      </c>
      <c r="M42">
        <f t="shared" si="0"/>
        <v>2.6934655505752447</v>
      </c>
      <c r="N42">
        <f t="shared" si="1"/>
        <v>-0.45346555057524451</v>
      </c>
      <c r="O42">
        <f t="shared" si="2"/>
        <v>0.20563100555850963</v>
      </c>
      <c r="S42" t="s">
        <v>48</v>
      </c>
      <c r="T42" t="s">
        <v>47</v>
      </c>
    </row>
    <row r="43" spans="1:25" x14ac:dyDescent="0.25">
      <c r="A43">
        <v>1</v>
      </c>
      <c r="B43">
        <v>0</v>
      </c>
      <c r="C43">
        <v>0</v>
      </c>
      <c r="D43">
        <v>1</v>
      </c>
      <c r="E43">
        <v>0</v>
      </c>
      <c r="F43">
        <v>0</v>
      </c>
      <c r="G43">
        <v>1</v>
      </c>
      <c r="H43">
        <v>1</v>
      </c>
      <c r="I43">
        <v>0</v>
      </c>
      <c r="J43">
        <v>2</v>
      </c>
      <c r="K43">
        <v>17.46</v>
      </c>
      <c r="L43">
        <v>2.54</v>
      </c>
      <c r="M43">
        <f t="shared" si="0"/>
        <v>2.7476228129356892</v>
      </c>
      <c r="N43">
        <f t="shared" si="1"/>
        <v>-0.20762281293568918</v>
      </c>
      <c r="O43">
        <f t="shared" si="2"/>
        <v>4.3107232451328185E-2</v>
      </c>
    </row>
    <row r="44" spans="1:25" x14ac:dyDescent="0.25">
      <c r="A44">
        <v>1</v>
      </c>
      <c r="B44">
        <v>0</v>
      </c>
      <c r="C44">
        <v>0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2</v>
      </c>
      <c r="K44">
        <v>13.94</v>
      </c>
      <c r="L44">
        <v>3.06</v>
      </c>
      <c r="M44">
        <f t="shared" si="0"/>
        <v>2.4150285518553272</v>
      </c>
      <c r="N44">
        <f t="shared" si="1"/>
        <v>0.64497144814467289</v>
      </c>
      <c r="O44">
        <f t="shared" si="2"/>
        <v>0.41598816892183649</v>
      </c>
    </row>
    <row r="45" spans="1:25" x14ac:dyDescent="0.25">
      <c r="A45">
        <v>1</v>
      </c>
      <c r="B45">
        <v>0</v>
      </c>
      <c r="C45">
        <v>0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2</v>
      </c>
      <c r="K45">
        <v>9.68</v>
      </c>
      <c r="L45">
        <v>1.32</v>
      </c>
      <c r="M45">
        <f t="shared" si="0"/>
        <v>2.0125139063432975</v>
      </c>
      <c r="N45">
        <f t="shared" si="1"/>
        <v>-0.69251390634329746</v>
      </c>
      <c r="O45">
        <f t="shared" si="2"/>
        <v>0.47957551047885338</v>
      </c>
    </row>
    <row r="46" spans="1:25" x14ac:dyDescent="0.25">
      <c r="A46">
        <v>1</v>
      </c>
      <c r="B46">
        <v>0</v>
      </c>
      <c r="C46">
        <v>0</v>
      </c>
      <c r="D46">
        <v>1</v>
      </c>
      <c r="E46">
        <v>0</v>
      </c>
      <c r="F46">
        <v>0</v>
      </c>
      <c r="G46">
        <v>1</v>
      </c>
      <c r="H46">
        <v>1</v>
      </c>
      <c r="I46">
        <v>0</v>
      </c>
      <c r="J46">
        <v>4</v>
      </c>
      <c r="K46">
        <v>30.4</v>
      </c>
      <c r="L46">
        <v>5.6</v>
      </c>
      <c r="M46">
        <f t="shared" si="0"/>
        <v>4.3222686759369955</v>
      </c>
      <c r="N46">
        <f t="shared" si="1"/>
        <v>1.2777313240630042</v>
      </c>
      <c r="O46">
        <f t="shared" si="2"/>
        <v>1.6325973364917978</v>
      </c>
    </row>
    <row r="47" spans="1:25" x14ac:dyDescent="0.25">
      <c r="A47">
        <v>1</v>
      </c>
      <c r="B47">
        <v>0</v>
      </c>
      <c r="C47">
        <v>0</v>
      </c>
      <c r="D47">
        <v>1</v>
      </c>
      <c r="E47">
        <v>0</v>
      </c>
      <c r="F47">
        <v>0</v>
      </c>
      <c r="G47">
        <v>1</v>
      </c>
      <c r="H47">
        <v>1</v>
      </c>
      <c r="I47">
        <v>0</v>
      </c>
      <c r="J47">
        <v>2</v>
      </c>
      <c r="K47">
        <v>18.29</v>
      </c>
      <c r="L47">
        <v>3</v>
      </c>
      <c r="M47">
        <f t="shared" si="0"/>
        <v>2.826047027906343</v>
      </c>
      <c r="N47">
        <f t="shared" si="1"/>
        <v>0.17395297209365701</v>
      </c>
      <c r="O47">
        <f t="shared" si="2"/>
        <v>3.0259636500216614E-2</v>
      </c>
    </row>
    <row r="48" spans="1:25" x14ac:dyDescent="0.25">
      <c r="A48">
        <v>1</v>
      </c>
      <c r="B48">
        <v>0</v>
      </c>
      <c r="C48">
        <v>0</v>
      </c>
      <c r="D48">
        <v>1</v>
      </c>
      <c r="E48">
        <v>0</v>
      </c>
      <c r="F48">
        <v>0</v>
      </c>
      <c r="G48">
        <v>1</v>
      </c>
      <c r="H48">
        <v>1</v>
      </c>
      <c r="I48">
        <v>0</v>
      </c>
      <c r="J48">
        <v>2</v>
      </c>
      <c r="K48">
        <v>22.23</v>
      </c>
      <c r="L48">
        <v>5</v>
      </c>
      <c r="M48">
        <f t="shared" si="0"/>
        <v>3.1983258315019762</v>
      </c>
      <c r="N48">
        <f t="shared" si="1"/>
        <v>1.8016741684980238</v>
      </c>
      <c r="O48">
        <f t="shared" si="2"/>
        <v>3.2460298094330451</v>
      </c>
    </row>
    <row r="49" spans="1:15" x14ac:dyDescent="0.25">
      <c r="A49">
        <v>1</v>
      </c>
      <c r="B49">
        <v>0</v>
      </c>
      <c r="C49">
        <v>0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  <c r="J49">
        <v>4</v>
      </c>
      <c r="K49">
        <v>32.4</v>
      </c>
      <c r="L49">
        <v>6</v>
      </c>
      <c r="M49">
        <f t="shared" si="0"/>
        <v>4.511242687914474</v>
      </c>
      <c r="N49">
        <f t="shared" si="1"/>
        <v>1.488757312085526</v>
      </c>
      <c r="O49">
        <f t="shared" si="2"/>
        <v>2.2163983342881202</v>
      </c>
    </row>
    <row r="50" spans="1:15" x14ac:dyDescent="0.25">
      <c r="A50">
        <v>1</v>
      </c>
      <c r="B50">
        <v>0</v>
      </c>
      <c r="C50">
        <v>0</v>
      </c>
      <c r="D50">
        <v>1</v>
      </c>
      <c r="E50">
        <v>0</v>
      </c>
      <c r="F50">
        <v>0</v>
      </c>
      <c r="G50">
        <v>1</v>
      </c>
      <c r="H50">
        <v>1</v>
      </c>
      <c r="I50">
        <v>0</v>
      </c>
      <c r="J50">
        <v>3</v>
      </c>
      <c r="K50">
        <v>28.55</v>
      </c>
      <c r="L50">
        <v>2.0499999999999998</v>
      </c>
      <c r="M50">
        <f t="shared" si="0"/>
        <v>3.9714757121043185</v>
      </c>
      <c r="N50">
        <f t="shared" si="1"/>
        <v>-1.9214757121043187</v>
      </c>
      <c r="O50">
        <f t="shared" si="2"/>
        <v>3.6920689122067984</v>
      </c>
    </row>
    <row r="51" spans="1:15" x14ac:dyDescent="0.25">
      <c r="A51">
        <v>1</v>
      </c>
      <c r="B51">
        <v>0</v>
      </c>
      <c r="C51">
        <v>0</v>
      </c>
      <c r="D51">
        <v>1</v>
      </c>
      <c r="E51">
        <v>0</v>
      </c>
      <c r="F51">
        <v>0</v>
      </c>
      <c r="G51">
        <v>1</v>
      </c>
      <c r="H51">
        <v>1</v>
      </c>
      <c r="I51">
        <v>0</v>
      </c>
      <c r="J51">
        <v>2</v>
      </c>
      <c r="K51">
        <v>18.04</v>
      </c>
      <c r="L51">
        <v>3</v>
      </c>
      <c r="M51">
        <f t="shared" si="0"/>
        <v>2.8024252764091582</v>
      </c>
      <c r="N51">
        <f t="shared" si="1"/>
        <v>0.19757472359084183</v>
      </c>
      <c r="O51">
        <f t="shared" si="2"/>
        <v>3.903577140199755E-2</v>
      </c>
    </row>
    <row r="52" spans="1:15" x14ac:dyDescent="0.25">
      <c r="A52">
        <v>1</v>
      </c>
      <c r="B52">
        <v>0</v>
      </c>
      <c r="C52">
        <v>0</v>
      </c>
      <c r="D52">
        <v>1</v>
      </c>
      <c r="E52">
        <v>0</v>
      </c>
      <c r="F52">
        <v>0</v>
      </c>
      <c r="G52">
        <v>1</v>
      </c>
      <c r="H52">
        <v>1</v>
      </c>
      <c r="I52">
        <v>0</v>
      </c>
      <c r="J52">
        <v>2</v>
      </c>
      <c r="K52">
        <v>12.54</v>
      </c>
      <c r="L52">
        <v>2.5</v>
      </c>
      <c r="M52">
        <f t="shared" si="0"/>
        <v>2.2827467434710917</v>
      </c>
      <c r="N52">
        <f t="shared" si="1"/>
        <v>0.21725325652890826</v>
      </c>
      <c r="O52">
        <f t="shared" si="2"/>
        <v>4.7198977472415617E-2</v>
      </c>
    </row>
    <row r="53" spans="1:15" x14ac:dyDescent="0.25">
      <c r="A53">
        <v>0</v>
      </c>
      <c r="B53">
        <v>1</v>
      </c>
      <c r="C53">
        <v>0</v>
      </c>
      <c r="D53">
        <v>1</v>
      </c>
      <c r="E53">
        <v>0</v>
      </c>
      <c r="F53">
        <v>0</v>
      </c>
      <c r="G53">
        <v>1</v>
      </c>
      <c r="H53">
        <v>1</v>
      </c>
      <c r="I53">
        <v>0</v>
      </c>
      <c r="J53">
        <v>2</v>
      </c>
      <c r="K53">
        <v>10.29</v>
      </c>
      <c r="L53">
        <v>2.6</v>
      </c>
      <c r="M53">
        <f t="shared" si="0"/>
        <v>2.0701509799964279</v>
      </c>
      <c r="N53">
        <f t="shared" si="1"/>
        <v>0.52984902000357215</v>
      </c>
      <c r="O53">
        <f t="shared" si="2"/>
        <v>0.28073998399874578</v>
      </c>
    </row>
    <row r="54" spans="1:15" x14ac:dyDescent="0.25">
      <c r="A54">
        <v>0</v>
      </c>
      <c r="B54">
        <v>1</v>
      </c>
      <c r="C54">
        <v>0</v>
      </c>
      <c r="D54">
        <v>1</v>
      </c>
      <c r="E54">
        <v>0</v>
      </c>
      <c r="F54">
        <v>0</v>
      </c>
      <c r="G54">
        <v>1</v>
      </c>
      <c r="H54">
        <v>1</v>
      </c>
      <c r="I54">
        <v>0</v>
      </c>
      <c r="J54">
        <v>4</v>
      </c>
      <c r="K54">
        <v>34.81</v>
      </c>
      <c r="L54">
        <v>5.2</v>
      </c>
      <c r="M54">
        <f t="shared" si="0"/>
        <v>4.738956372347336</v>
      </c>
      <c r="N54">
        <f t="shared" si="1"/>
        <v>0.46104362765266416</v>
      </c>
      <c r="O54">
        <f t="shared" si="2"/>
        <v>0.21256122659912843</v>
      </c>
    </row>
    <row r="55" spans="1:15" x14ac:dyDescent="0.25">
      <c r="A55">
        <v>1</v>
      </c>
      <c r="B55">
        <v>0</v>
      </c>
      <c r="C55">
        <v>0</v>
      </c>
      <c r="D55">
        <v>1</v>
      </c>
      <c r="E55">
        <v>0</v>
      </c>
      <c r="F55">
        <v>0</v>
      </c>
      <c r="G55">
        <v>1</v>
      </c>
      <c r="H55">
        <v>1</v>
      </c>
      <c r="I55">
        <v>0</v>
      </c>
      <c r="J55">
        <v>2</v>
      </c>
      <c r="K55">
        <v>9.94</v>
      </c>
      <c r="L55">
        <v>1.56</v>
      </c>
      <c r="M55">
        <f t="shared" si="0"/>
        <v>2.0370805279003692</v>
      </c>
      <c r="N55">
        <f t="shared" si="1"/>
        <v>-0.47708052790036914</v>
      </c>
      <c r="O55">
        <f t="shared" si="2"/>
        <v>0.22760583010169491</v>
      </c>
    </row>
    <row r="56" spans="1:15" x14ac:dyDescent="0.25">
      <c r="A56">
        <v>1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1</v>
      </c>
      <c r="I56">
        <v>0</v>
      </c>
      <c r="J56">
        <v>4</v>
      </c>
      <c r="K56">
        <v>25.56</v>
      </c>
      <c r="L56">
        <v>4.34</v>
      </c>
      <c r="M56">
        <f t="shared" si="0"/>
        <v>3.8649515669514969</v>
      </c>
      <c r="N56">
        <f t="shared" si="1"/>
        <v>0.47504843304850297</v>
      </c>
      <c r="O56">
        <f t="shared" si="2"/>
        <v>0.22567101374183801</v>
      </c>
    </row>
    <row r="57" spans="1:15" x14ac:dyDescent="0.25">
      <c r="A57">
        <v>1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  <c r="I57">
        <v>0</v>
      </c>
      <c r="J57">
        <v>2</v>
      </c>
      <c r="K57">
        <v>19.489999999999998</v>
      </c>
      <c r="L57">
        <v>3.51</v>
      </c>
      <c r="M57">
        <f t="shared" si="0"/>
        <v>2.9394314350928301</v>
      </c>
      <c r="N57">
        <f t="shared" si="1"/>
        <v>0.57056856490716967</v>
      </c>
      <c r="O57">
        <f t="shared" si="2"/>
        <v>0.32554848726022712</v>
      </c>
    </row>
    <row r="58" spans="1:15" x14ac:dyDescent="0.25">
      <c r="A58">
        <v>1</v>
      </c>
      <c r="B58">
        <v>0</v>
      </c>
      <c r="C58">
        <v>1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4</v>
      </c>
      <c r="K58">
        <v>38.01</v>
      </c>
      <c r="L58">
        <v>3</v>
      </c>
      <c r="M58">
        <f t="shared" si="0"/>
        <v>4.8913696950683896</v>
      </c>
      <c r="N58">
        <f t="shared" si="1"/>
        <v>-1.8913696950683896</v>
      </c>
      <c r="O58">
        <f t="shared" si="2"/>
        <v>3.5772793234230931</v>
      </c>
    </row>
    <row r="59" spans="1:15" x14ac:dyDescent="0.25">
      <c r="A59">
        <v>0</v>
      </c>
      <c r="B59">
        <v>1</v>
      </c>
      <c r="C59">
        <v>0</v>
      </c>
      <c r="D59">
        <v>1</v>
      </c>
      <c r="E59">
        <v>0</v>
      </c>
      <c r="F59">
        <v>1</v>
      </c>
      <c r="G59">
        <v>0</v>
      </c>
      <c r="H59">
        <v>1</v>
      </c>
      <c r="I59">
        <v>0</v>
      </c>
      <c r="J59">
        <v>2</v>
      </c>
      <c r="K59">
        <v>26.41</v>
      </c>
      <c r="L59">
        <v>1.5</v>
      </c>
      <c r="M59">
        <f t="shared" si="0"/>
        <v>3.4973037999249623</v>
      </c>
      <c r="N59">
        <f t="shared" si="1"/>
        <v>-1.9973037999249623</v>
      </c>
      <c r="O59">
        <f t="shared" si="2"/>
        <v>3.989222469194694</v>
      </c>
    </row>
    <row r="60" spans="1:15" x14ac:dyDescent="0.25">
      <c r="A60">
        <v>1</v>
      </c>
      <c r="B60">
        <v>0</v>
      </c>
      <c r="C60">
        <v>1</v>
      </c>
      <c r="D60">
        <v>0</v>
      </c>
      <c r="E60">
        <v>0</v>
      </c>
      <c r="F60">
        <v>1</v>
      </c>
      <c r="G60">
        <v>0</v>
      </c>
      <c r="H60">
        <v>1</v>
      </c>
      <c r="I60">
        <v>0</v>
      </c>
      <c r="J60">
        <v>2</v>
      </c>
      <c r="K60">
        <v>11.24</v>
      </c>
      <c r="L60">
        <v>1.76</v>
      </c>
      <c r="M60">
        <f t="shared" si="0"/>
        <v>2.0099685392428182</v>
      </c>
      <c r="N60">
        <f t="shared" si="1"/>
        <v>-0.24996853924281814</v>
      </c>
      <c r="O60">
        <f t="shared" si="2"/>
        <v>6.2484270611188317E-2</v>
      </c>
    </row>
    <row r="61" spans="1:15" x14ac:dyDescent="0.25">
      <c r="A61">
        <v>1</v>
      </c>
      <c r="B61">
        <v>0</v>
      </c>
      <c r="C61">
        <v>0</v>
      </c>
      <c r="D61">
        <v>1</v>
      </c>
      <c r="E61">
        <v>0</v>
      </c>
      <c r="F61">
        <v>1</v>
      </c>
      <c r="G61">
        <v>0</v>
      </c>
      <c r="H61">
        <v>1</v>
      </c>
      <c r="I61">
        <v>0</v>
      </c>
      <c r="J61">
        <v>4</v>
      </c>
      <c r="K61">
        <v>48.27</v>
      </c>
      <c r="L61">
        <v>6.73</v>
      </c>
      <c r="M61">
        <f t="shared" si="0"/>
        <v>5.9147737563458236</v>
      </c>
      <c r="N61">
        <f t="shared" si="1"/>
        <v>0.81522624365417684</v>
      </c>
      <c r="O61">
        <f t="shared" si="2"/>
        <v>0.66459382834249936</v>
      </c>
    </row>
    <row r="62" spans="1:15" x14ac:dyDescent="0.25">
      <c r="A62">
        <v>1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1</v>
      </c>
      <c r="I62">
        <v>0</v>
      </c>
      <c r="J62">
        <v>2</v>
      </c>
      <c r="K62">
        <v>20.29</v>
      </c>
      <c r="L62">
        <v>3.21</v>
      </c>
      <c r="M62">
        <f t="shared" si="0"/>
        <v>2.8650759434409094</v>
      </c>
      <c r="N62">
        <f t="shared" si="1"/>
        <v>0.34492405655909053</v>
      </c>
      <c r="O62">
        <f t="shared" si="2"/>
        <v>0.11897260479317869</v>
      </c>
    </row>
    <row r="63" spans="1:15" x14ac:dyDescent="0.25">
      <c r="A63">
        <v>1</v>
      </c>
      <c r="B63">
        <v>0</v>
      </c>
      <c r="C63">
        <v>1</v>
      </c>
      <c r="D63">
        <v>0</v>
      </c>
      <c r="E63">
        <v>0</v>
      </c>
      <c r="F63">
        <v>1</v>
      </c>
      <c r="G63">
        <v>0</v>
      </c>
      <c r="H63">
        <v>1</v>
      </c>
      <c r="I63">
        <v>0</v>
      </c>
      <c r="J63">
        <v>2</v>
      </c>
      <c r="K63">
        <v>13.81</v>
      </c>
      <c r="L63">
        <v>2</v>
      </c>
      <c r="M63">
        <f t="shared" si="0"/>
        <v>2.2528001446338788</v>
      </c>
      <c r="N63">
        <f t="shared" si="1"/>
        <v>-0.25280014463387879</v>
      </c>
      <c r="O63">
        <f t="shared" si="2"/>
        <v>6.3907913126910035E-2</v>
      </c>
    </row>
    <row r="64" spans="1:15" x14ac:dyDescent="0.25">
      <c r="A64">
        <v>1</v>
      </c>
      <c r="B64">
        <v>0</v>
      </c>
      <c r="C64">
        <v>1</v>
      </c>
      <c r="D64">
        <v>0</v>
      </c>
      <c r="E64">
        <v>0</v>
      </c>
      <c r="F64">
        <v>1</v>
      </c>
      <c r="G64">
        <v>0</v>
      </c>
      <c r="H64">
        <v>1</v>
      </c>
      <c r="I64">
        <v>0</v>
      </c>
      <c r="J64">
        <v>2</v>
      </c>
      <c r="K64">
        <v>11.02</v>
      </c>
      <c r="L64">
        <v>1.98</v>
      </c>
      <c r="M64">
        <f t="shared" si="0"/>
        <v>1.9891813979252955</v>
      </c>
      <c r="N64">
        <f t="shared" si="1"/>
        <v>-9.1813979252954869E-3</v>
      </c>
      <c r="O64">
        <f t="shared" si="2"/>
        <v>8.4298067862620266E-5</v>
      </c>
    </row>
    <row r="65" spans="1:15" x14ac:dyDescent="0.25">
      <c r="A65">
        <v>1</v>
      </c>
      <c r="B65">
        <v>0</v>
      </c>
      <c r="C65">
        <v>1</v>
      </c>
      <c r="D65">
        <v>0</v>
      </c>
      <c r="E65">
        <v>0</v>
      </c>
      <c r="F65">
        <v>1</v>
      </c>
      <c r="G65">
        <v>0</v>
      </c>
      <c r="H65">
        <v>1</v>
      </c>
      <c r="I65">
        <v>0</v>
      </c>
      <c r="J65">
        <v>4</v>
      </c>
      <c r="K65">
        <v>18.29</v>
      </c>
      <c r="L65">
        <v>3.76</v>
      </c>
      <c r="M65">
        <f t="shared" si="0"/>
        <v>3.0280859369704496</v>
      </c>
      <c r="N65">
        <f t="shared" si="1"/>
        <v>0.7319140630295502</v>
      </c>
      <c r="O65">
        <f t="shared" si="2"/>
        <v>0.53569819566042443</v>
      </c>
    </row>
    <row r="66" spans="1:15" x14ac:dyDescent="0.25">
      <c r="A66">
        <v>1</v>
      </c>
      <c r="B66">
        <v>0</v>
      </c>
      <c r="C66">
        <v>0</v>
      </c>
      <c r="D66">
        <v>1</v>
      </c>
      <c r="E66">
        <v>0</v>
      </c>
      <c r="F66">
        <v>1</v>
      </c>
      <c r="G66">
        <v>0</v>
      </c>
      <c r="H66">
        <v>1</v>
      </c>
      <c r="I66">
        <v>0</v>
      </c>
      <c r="J66">
        <v>3</v>
      </c>
      <c r="K66">
        <v>17.59</v>
      </c>
      <c r="L66">
        <v>2.64</v>
      </c>
      <c r="M66">
        <f t="shared" si="0"/>
        <v>2.8399204098577906</v>
      </c>
      <c r="N66">
        <f t="shared" si="1"/>
        <v>-0.19992040985779047</v>
      </c>
      <c r="O66">
        <f t="shared" si="2"/>
        <v>3.9968170277706924E-2</v>
      </c>
    </row>
    <row r="67" spans="1:15" x14ac:dyDescent="0.25">
      <c r="A67">
        <v>1</v>
      </c>
      <c r="B67">
        <v>0</v>
      </c>
      <c r="C67">
        <v>0</v>
      </c>
      <c r="D67">
        <v>1</v>
      </c>
      <c r="E67">
        <v>0</v>
      </c>
      <c r="F67">
        <v>1</v>
      </c>
      <c r="G67">
        <v>0</v>
      </c>
      <c r="H67">
        <v>1</v>
      </c>
      <c r="I67">
        <v>0</v>
      </c>
      <c r="J67">
        <v>3</v>
      </c>
      <c r="K67">
        <v>20.079999999999998</v>
      </c>
      <c r="L67">
        <v>3.15</v>
      </c>
      <c r="M67">
        <f t="shared" ref="M67:M130" si="3">A67*$R$30+B67*$R$32+C67*$R$31+D67*$R$33+E67*$R$34+F67*$R$35+G67*$R$36+H67*$R$37+I67*$R$38+J67*$R$39+K67*$R$40+$R$29</f>
        <v>3.075193054769751</v>
      </c>
      <c r="N67">
        <f t="shared" ref="N67:N130" si="4">L67-M67</f>
        <v>7.4806945230248889E-2</v>
      </c>
      <c r="O67">
        <f t="shared" ref="O67:O130" si="5">N67^2</f>
        <v>5.5960790546814567E-3</v>
      </c>
    </row>
    <row r="68" spans="1:15" x14ac:dyDescent="0.25">
      <c r="A68">
        <v>0</v>
      </c>
      <c r="B68">
        <v>1</v>
      </c>
      <c r="C68">
        <v>0</v>
      </c>
      <c r="D68">
        <v>1</v>
      </c>
      <c r="E68">
        <v>0</v>
      </c>
      <c r="F68">
        <v>1</v>
      </c>
      <c r="G68">
        <v>0</v>
      </c>
      <c r="H68">
        <v>1</v>
      </c>
      <c r="I68">
        <v>0</v>
      </c>
      <c r="J68">
        <v>2</v>
      </c>
      <c r="K68">
        <v>16.45</v>
      </c>
      <c r="L68">
        <v>2.4700000000000002</v>
      </c>
      <c r="M68">
        <f t="shared" si="3"/>
        <v>2.5562132202771184</v>
      </c>
      <c r="N68">
        <f t="shared" si="4"/>
        <v>-8.6213220277118197E-2</v>
      </c>
      <c r="O68">
        <f t="shared" si="5"/>
        <v>7.4327193505509042E-3</v>
      </c>
    </row>
    <row r="69" spans="1:15" x14ac:dyDescent="0.25">
      <c r="A69">
        <v>0</v>
      </c>
      <c r="B69">
        <v>1</v>
      </c>
      <c r="C69">
        <v>1</v>
      </c>
      <c r="D69">
        <v>0</v>
      </c>
      <c r="E69">
        <v>0</v>
      </c>
      <c r="F69">
        <v>1</v>
      </c>
      <c r="G69">
        <v>0</v>
      </c>
      <c r="H69">
        <v>1</v>
      </c>
      <c r="I69">
        <v>0</v>
      </c>
      <c r="J69">
        <v>1</v>
      </c>
      <c r="K69">
        <v>3.07</v>
      </c>
      <c r="L69">
        <v>1</v>
      </c>
      <c r="M69">
        <f t="shared" si="3"/>
        <v>1.0620176975613083</v>
      </c>
      <c r="N69">
        <f t="shared" si="4"/>
        <v>-6.201769756130826E-2</v>
      </c>
      <c r="O69">
        <f t="shared" si="5"/>
        <v>3.8461948108059005E-3</v>
      </c>
    </row>
    <row r="70" spans="1:15" x14ac:dyDescent="0.25">
      <c r="A70">
        <v>1</v>
      </c>
      <c r="B70">
        <v>0</v>
      </c>
      <c r="C70">
        <v>0</v>
      </c>
      <c r="D70">
        <v>1</v>
      </c>
      <c r="E70">
        <v>0</v>
      </c>
      <c r="F70">
        <v>1</v>
      </c>
      <c r="G70">
        <v>0</v>
      </c>
      <c r="H70">
        <v>1</v>
      </c>
      <c r="I70">
        <v>0</v>
      </c>
      <c r="J70">
        <v>2</v>
      </c>
      <c r="K70">
        <v>20.23</v>
      </c>
      <c r="L70">
        <v>2.0099999999999998</v>
      </c>
      <c r="M70">
        <f t="shared" si="3"/>
        <v>2.9133741029145535</v>
      </c>
      <c r="N70">
        <f t="shared" si="4"/>
        <v>-0.90337410291455367</v>
      </c>
      <c r="O70">
        <f t="shared" si="5"/>
        <v>0.81608476981667455</v>
      </c>
    </row>
    <row r="71" spans="1:15" x14ac:dyDescent="0.25">
      <c r="A71">
        <v>1</v>
      </c>
      <c r="B71">
        <v>0</v>
      </c>
      <c r="C71">
        <v>1</v>
      </c>
      <c r="D71">
        <v>0</v>
      </c>
      <c r="E71">
        <v>0</v>
      </c>
      <c r="F71">
        <v>1</v>
      </c>
      <c r="G71">
        <v>0</v>
      </c>
      <c r="H71">
        <v>1</v>
      </c>
      <c r="I71">
        <v>0</v>
      </c>
      <c r="J71">
        <v>2</v>
      </c>
      <c r="K71">
        <v>15.01</v>
      </c>
      <c r="L71">
        <v>2.09</v>
      </c>
      <c r="M71">
        <f t="shared" si="3"/>
        <v>2.3661845518203659</v>
      </c>
      <c r="N71">
        <f t="shared" si="4"/>
        <v>-0.27618455182036605</v>
      </c>
      <c r="O71">
        <f t="shared" si="5"/>
        <v>7.6277906664216466E-2</v>
      </c>
    </row>
    <row r="72" spans="1:15" x14ac:dyDescent="0.25">
      <c r="A72">
        <v>1</v>
      </c>
      <c r="B72">
        <v>0</v>
      </c>
      <c r="C72">
        <v>0</v>
      </c>
      <c r="D72">
        <v>1</v>
      </c>
      <c r="E72">
        <v>0</v>
      </c>
      <c r="F72">
        <v>1</v>
      </c>
      <c r="G72">
        <v>0</v>
      </c>
      <c r="H72">
        <v>1</v>
      </c>
      <c r="I72">
        <v>0</v>
      </c>
      <c r="J72">
        <v>2</v>
      </c>
      <c r="K72">
        <v>12.02</v>
      </c>
      <c r="L72">
        <v>1.97</v>
      </c>
      <c r="M72">
        <f t="shared" si="3"/>
        <v>2.1376357837470028</v>
      </c>
      <c r="N72">
        <f t="shared" si="4"/>
        <v>-0.16763578374700283</v>
      </c>
      <c r="O72">
        <f t="shared" si="5"/>
        <v>2.8101755992471899E-2</v>
      </c>
    </row>
    <row r="73" spans="1:15" x14ac:dyDescent="0.25">
      <c r="A73">
        <v>0</v>
      </c>
      <c r="B73">
        <v>1</v>
      </c>
      <c r="C73">
        <v>0</v>
      </c>
      <c r="D73">
        <v>1</v>
      </c>
      <c r="E73">
        <v>0</v>
      </c>
      <c r="F73">
        <v>1</v>
      </c>
      <c r="G73">
        <v>0</v>
      </c>
      <c r="H73">
        <v>1</v>
      </c>
      <c r="I73">
        <v>0</v>
      </c>
      <c r="J73">
        <v>3</v>
      </c>
      <c r="K73">
        <v>17.07</v>
      </c>
      <c r="L73">
        <v>3</v>
      </c>
      <c r="M73">
        <f t="shared" si="3"/>
        <v>2.7907871667436464</v>
      </c>
      <c r="N73">
        <f t="shared" si="4"/>
        <v>0.20921283325635365</v>
      </c>
      <c r="O73">
        <f t="shared" si="5"/>
        <v>4.3770009599150832E-2</v>
      </c>
    </row>
    <row r="74" spans="1:15" x14ac:dyDescent="0.25">
      <c r="A74">
        <v>0</v>
      </c>
      <c r="B74">
        <v>1</v>
      </c>
      <c r="C74">
        <v>1</v>
      </c>
      <c r="D74">
        <v>0</v>
      </c>
      <c r="E74">
        <v>0</v>
      </c>
      <c r="F74">
        <v>1</v>
      </c>
      <c r="G74">
        <v>0</v>
      </c>
      <c r="H74">
        <v>1</v>
      </c>
      <c r="I74">
        <v>0</v>
      </c>
      <c r="J74">
        <v>2</v>
      </c>
      <c r="K74">
        <v>26.86</v>
      </c>
      <c r="L74">
        <v>3.14</v>
      </c>
      <c r="M74">
        <f t="shared" si="3"/>
        <v>3.4858555727869271</v>
      </c>
      <c r="N74">
        <f t="shared" si="4"/>
        <v>-0.34585557278692702</v>
      </c>
      <c r="O74">
        <f t="shared" si="5"/>
        <v>0.11961607722777337</v>
      </c>
    </row>
    <row r="75" spans="1:15" x14ac:dyDescent="0.25">
      <c r="A75">
        <v>0</v>
      </c>
      <c r="B75">
        <v>1</v>
      </c>
      <c r="C75">
        <v>1</v>
      </c>
      <c r="D75">
        <v>0</v>
      </c>
      <c r="E75">
        <v>0</v>
      </c>
      <c r="F75">
        <v>1</v>
      </c>
      <c r="G75">
        <v>0</v>
      </c>
      <c r="H75">
        <v>1</v>
      </c>
      <c r="I75">
        <v>0</v>
      </c>
      <c r="J75">
        <v>2</v>
      </c>
      <c r="K75">
        <v>25.28</v>
      </c>
      <c r="L75">
        <v>5</v>
      </c>
      <c r="M75">
        <f t="shared" si="3"/>
        <v>3.3365661033247189</v>
      </c>
      <c r="N75">
        <f t="shared" si="4"/>
        <v>1.6634338966752811</v>
      </c>
      <c r="O75">
        <f t="shared" si="5"/>
        <v>2.7670123286083097</v>
      </c>
    </row>
    <row r="76" spans="1:15" x14ac:dyDescent="0.25">
      <c r="A76">
        <v>0</v>
      </c>
      <c r="B76">
        <v>1</v>
      </c>
      <c r="C76">
        <v>0</v>
      </c>
      <c r="D76">
        <v>1</v>
      </c>
      <c r="E76">
        <v>0</v>
      </c>
      <c r="F76">
        <v>1</v>
      </c>
      <c r="G76">
        <v>0</v>
      </c>
      <c r="H76">
        <v>1</v>
      </c>
      <c r="I76">
        <v>0</v>
      </c>
      <c r="J76">
        <v>2</v>
      </c>
      <c r="K76">
        <v>14.73</v>
      </c>
      <c r="L76">
        <v>2.2000000000000002</v>
      </c>
      <c r="M76">
        <f t="shared" si="3"/>
        <v>2.3936955699764866</v>
      </c>
      <c r="N76">
        <f t="shared" si="4"/>
        <v>-0.1936955699764864</v>
      </c>
      <c r="O76">
        <f t="shared" si="5"/>
        <v>3.7517973828515939E-2</v>
      </c>
    </row>
    <row r="77" spans="1:15" x14ac:dyDescent="0.25">
      <c r="A77">
        <v>1</v>
      </c>
      <c r="B77">
        <v>0</v>
      </c>
      <c r="C77">
        <v>0</v>
      </c>
      <c r="D77">
        <v>1</v>
      </c>
      <c r="E77">
        <v>0</v>
      </c>
      <c r="F77">
        <v>1</v>
      </c>
      <c r="G77">
        <v>0</v>
      </c>
      <c r="H77">
        <v>1</v>
      </c>
      <c r="I77">
        <v>0</v>
      </c>
      <c r="J77">
        <v>2</v>
      </c>
      <c r="K77">
        <v>10.51</v>
      </c>
      <c r="L77">
        <v>1.25</v>
      </c>
      <c r="M77">
        <f t="shared" si="3"/>
        <v>1.9949604047040068</v>
      </c>
      <c r="N77">
        <f t="shared" si="4"/>
        <v>-0.74496040470400682</v>
      </c>
      <c r="O77">
        <f t="shared" si="5"/>
        <v>0.5549660045767576</v>
      </c>
    </row>
    <row r="78" spans="1:15" x14ac:dyDescent="0.25">
      <c r="A78">
        <v>1</v>
      </c>
      <c r="B78">
        <v>0</v>
      </c>
      <c r="C78">
        <v>1</v>
      </c>
      <c r="D78">
        <v>0</v>
      </c>
      <c r="E78">
        <v>0</v>
      </c>
      <c r="F78">
        <v>1</v>
      </c>
      <c r="G78">
        <v>0</v>
      </c>
      <c r="H78">
        <v>1</v>
      </c>
      <c r="I78">
        <v>0</v>
      </c>
      <c r="J78">
        <v>2</v>
      </c>
      <c r="K78">
        <v>17.920000000000002</v>
      </c>
      <c r="L78">
        <v>3.08</v>
      </c>
      <c r="M78">
        <f t="shared" si="3"/>
        <v>2.6411417392475975</v>
      </c>
      <c r="N78">
        <f t="shared" si="4"/>
        <v>0.43885826075240253</v>
      </c>
      <c r="O78">
        <f t="shared" si="5"/>
        <v>0.19259657303062372</v>
      </c>
    </row>
    <row r="79" spans="1:15" x14ac:dyDescent="0.25">
      <c r="A79">
        <v>1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1</v>
      </c>
      <c r="J79">
        <v>4</v>
      </c>
      <c r="K79">
        <v>27.2</v>
      </c>
      <c r="L79">
        <v>4</v>
      </c>
      <c r="M79">
        <f t="shared" si="3"/>
        <v>3.9512603200222873</v>
      </c>
      <c r="N79">
        <f t="shared" si="4"/>
        <v>4.8739679977712669E-2</v>
      </c>
      <c r="O79">
        <f t="shared" si="5"/>
        <v>2.3755564043298452E-3</v>
      </c>
    </row>
    <row r="80" spans="1:15" x14ac:dyDescent="0.25">
      <c r="A80">
        <v>1</v>
      </c>
      <c r="B80">
        <v>0</v>
      </c>
      <c r="C80">
        <v>0</v>
      </c>
      <c r="D80">
        <v>1</v>
      </c>
      <c r="E80">
        <v>0</v>
      </c>
      <c r="F80">
        <v>0</v>
      </c>
      <c r="G80">
        <v>0</v>
      </c>
      <c r="H80">
        <v>0</v>
      </c>
      <c r="I80">
        <v>1</v>
      </c>
      <c r="J80">
        <v>2</v>
      </c>
      <c r="K80">
        <v>22.76</v>
      </c>
      <c r="L80">
        <v>3</v>
      </c>
      <c r="M80">
        <f t="shared" si="3"/>
        <v>3.1797540079252666</v>
      </c>
      <c r="N80">
        <f t="shared" si="4"/>
        <v>-0.17975400792526663</v>
      </c>
      <c r="O80">
        <f t="shared" si="5"/>
        <v>3.2311503365196823E-2</v>
      </c>
    </row>
    <row r="81" spans="1:15" x14ac:dyDescent="0.25">
      <c r="A81">
        <v>1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2</v>
      </c>
      <c r="K81">
        <v>17.29</v>
      </c>
      <c r="L81">
        <v>2.71</v>
      </c>
      <c r="M81">
        <f t="shared" si="3"/>
        <v>2.6629100851668621</v>
      </c>
      <c r="N81">
        <f t="shared" si="4"/>
        <v>4.7089914833137847E-2</v>
      </c>
      <c r="O81">
        <f t="shared" si="5"/>
        <v>2.2174600789921757E-3</v>
      </c>
    </row>
    <row r="82" spans="1:15" x14ac:dyDescent="0.25">
      <c r="A82">
        <v>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1</v>
      </c>
      <c r="J82">
        <v>2</v>
      </c>
      <c r="K82">
        <v>19.440000000000001</v>
      </c>
      <c r="L82">
        <v>3</v>
      </c>
      <c r="M82">
        <f t="shared" si="3"/>
        <v>2.8120897682096828</v>
      </c>
      <c r="N82">
        <f t="shared" si="4"/>
        <v>0.18791023179031718</v>
      </c>
      <c r="O82">
        <f t="shared" si="5"/>
        <v>3.5310255211490733E-2</v>
      </c>
    </row>
    <row r="83" spans="1:15" x14ac:dyDescent="0.25">
      <c r="A83">
        <v>1</v>
      </c>
      <c r="B83">
        <v>0</v>
      </c>
      <c r="C83">
        <v>0</v>
      </c>
      <c r="D83">
        <v>1</v>
      </c>
      <c r="E83">
        <v>0</v>
      </c>
      <c r="F83">
        <v>0</v>
      </c>
      <c r="G83">
        <v>0</v>
      </c>
      <c r="H83">
        <v>0</v>
      </c>
      <c r="I83">
        <v>1</v>
      </c>
      <c r="J83">
        <v>2</v>
      </c>
      <c r="K83">
        <v>16.66</v>
      </c>
      <c r="L83">
        <v>3.4</v>
      </c>
      <c r="M83">
        <f t="shared" si="3"/>
        <v>2.6033832713939562</v>
      </c>
      <c r="N83">
        <f t="shared" si="4"/>
        <v>0.79661672860604371</v>
      </c>
      <c r="O83">
        <f t="shared" si="5"/>
        <v>0.63459821229499513</v>
      </c>
    </row>
    <row r="84" spans="1:15" x14ac:dyDescent="0.25">
      <c r="A84">
        <v>0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10.07</v>
      </c>
      <c r="L84">
        <v>1.83</v>
      </c>
      <c r="M84">
        <f t="shared" si="3"/>
        <v>1.8047218991746543</v>
      </c>
      <c r="N84">
        <f t="shared" si="4"/>
        <v>2.5278100825345762E-2</v>
      </c>
      <c r="O84">
        <f t="shared" si="5"/>
        <v>6.3898238133634603E-4</v>
      </c>
    </row>
    <row r="85" spans="1:15" x14ac:dyDescent="0.25">
      <c r="A85">
        <v>1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2</v>
      </c>
      <c r="K85">
        <v>32.68</v>
      </c>
      <c r="L85">
        <v>5</v>
      </c>
      <c r="M85">
        <f t="shared" si="3"/>
        <v>4.0630977275005922</v>
      </c>
      <c r="N85">
        <f t="shared" si="4"/>
        <v>0.93690227249940783</v>
      </c>
      <c r="O85">
        <f t="shared" si="5"/>
        <v>0.87778586821455462</v>
      </c>
    </row>
    <row r="86" spans="1:15" x14ac:dyDescent="0.25">
      <c r="A86">
        <v>1</v>
      </c>
      <c r="B86">
        <v>0</v>
      </c>
      <c r="C86">
        <v>0</v>
      </c>
      <c r="D86">
        <v>1</v>
      </c>
      <c r="E86">
        <v>0</v>
      </c>
      <c r="F86">
        <v>0</v>
      </c>
      <c r="G86">
        <v>0</v>
      </c>
      <c r="H86">
        <v>0</v>
      </c>
      <c r="I86">
        <v>1</v>
      </c>
      <c r="J86">
        <v>2</v>
      </c>
      <c r="K86">
        <v>15.98</v>
      </c>
      <c r="L86">
        <v>2.0299999999999998</v>
      </c>
      <c r="M86">
        <f t="shared" si="3"/>
        <v>2.5391321073216133</v>
      </c>
      <c r="N86">
        <f t="shared" si="4"/>
        <v>-0.50913210732161351</v>
      </c>
      <c r="O86">
        <f t="shared" si="5"/>
        <v>0.259215502705747</v>
      </c>
    </row>
    <row r="87" spans="1:15" x14ac:dyDescent="0.25">
      <c r="A87">
        <v>0</v>
      </c>
      <c r="B87">
        <v>1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1</v>
      </c>
      <c r="J87">
        <v>4</v>
      </c>
      <c r="K87">
        <v>34.83</v>
      </c>
      <c r="L87">
        <v>5.17</v>
      </c>
      <c r="M87">
        <f t="shared" si="3"/>
        <v>4.6721961757163681</v>
      </c>
      <c r="N87">
        <f t="shared" si="4"/>
        <v>0.49780382428363179</v>
      </c>
      <c r="O87">
        <f t="shared" si="5"/>
        <v>0.24780864747140896</v>
      </c>
    </row>
    <row r="88" spans="1:15" x14ac:dyDescent="0.25">
      <c r="A88">
        <v>1</v>
      </c>
      <c r="B88">
        <v>0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1</v>
      </c>
      <c r="J88">
        <v>2</v>
      </c>
      <c r="K88">
        <v>13.03</v>
      </c>
      <c r="L88">
        <v>2</v>
      </c>
      <c r="M88">
        <f t="shared" si="3"/>
        <v>2.260395439654832</v>
      </c>
      <c r="N88">
        <f t="shared" si="4"/>
        <v>-0.26039543965483203</v>
      </c>
      <c r="O88">
        <f t="shared" si="5"/>
        <v>6.7805784993033275E-2</v>
      </c>
    </row>
    <row r="89" spans="1:15" x14ac:dyDescent="0.25">
      <c r="A89">
        <v>1</v>
      </c>
      <c r="B89">
        <v>0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1</v>
      </c>
      <c r="J89">
        <v>2</v>
      </c>
      <c r="K89">
        <v>18.28</v>
      </c>
      <c r="L89">
        <v>4</v>
      </c>
      <c r="M89">
        <f t="shared" si="3"/>
        <v>2.7564522210957136</v>
      </c>
      <c r="N89">
        <f t="shared" si="4"/>
        <v>1.2435477789042864</v>
      </c>
      <c r="O89">
        <f t="shared" si="5"/>
        <v>1.5464110784177838</v>
      </c>
    </row>
    <row r="90" spans="1:15" x14ac:dyDescent="0.25">
      <c r="A90">
        <v>1</v>
      </c>
      <c r="B90">
        <v>0</v>
      </c>
      <c r="C90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1</v>
      </c>
      <c r="J90">
        <v>2</v>
      </c>
      <c r="K90">
        <v>24.71</v>
      </c>
      <c r="L90">
        <v>5.85</v>
      </c>
      <c r="M90">
        <f t="shared" si="3"/>
        <v>3.3640036696033082</v>
      </c>
      <c r="N90">
        <f t="shared" si="4"/>
        <v>2.4859963303966914</v>
      </c>
      <c r="O90">
        <f t="shared" si="5"/>
        <v>6.1801777547458157</v>
      </c>
    </row>
    <row r="91" spans="1:15" x14ac:dyDescent="0.25">
      <c r="A91">
        <v>1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1</v>
      </c>
      <c r="J91">
        <v>2</v>
      </c>
      <c r="K91">
        <v>21.16</v>
      </c>
      <c r="L91">
        <v>3</v>
      </c>
      <c r="M91">
        <f t="shared" si="3"/>
        <v>3.0285747983432829</v>
      </c>
      <c r="N91">
        <f t="shared" si="4"/>
        <v>-2.8574798343282914E-2</v>
      </c>
      <c r="O91">
        <f t="shared" si="5"/>
        <v>8.1651910035928396E-4</v>
      </c>
    </row>
    <row r="92" spans="1:15" x14ac:dyDescent="0.25">
      <c r="A92">
        <v>1</v>
      </c>
      <c r="B92">
        <v>0</v>
      </c>
      <c r="C92">
        <v>1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2</v>
      </c>
      <c r="K92">
        <v>28.97</v>
      </c>
      <c r="L92">
        <v>3</v>
      </c>
      <c r="M92">
        <f t="shared" si="3"/>
        <v>3.8066815318148723</v>
      </c>
      <c r="N92">
        <f t="shared" si="4"/>
        <v>-0.80668153181487234</v>
      </c>
      <c r="O92">
        <f t="shared" si="5"/>
        <v>0.65073509377118888</v>
      </c>
    </row>
    <row r="93" spans="1:15" x14ac:dyDescent="0.25">
      <c r="A93">
        <v>1</v>
      </c>
      <c r="B93">
        <v>0</v>
      </c>
      <c r="C93">
        <v>0</v>
      </c>
      <c r="D93">
        <v>1</v>
      </c>
      <c r="E93">
        <v>1</v>
      </c>
      <c r="F93">
        <v>0</v>
      </c>
      <c r="G93">
        <v>0</v>
      </c>
      <c r="H93">
        <v>1</v>
      </c>
      <c r="I93">
        <v>0</v>
      </c>
      <c r="J93">
        <v>2</v>
      </c>
      <c r="K93">
        <v>22.49</v>
      </c>
      <c r="L93">
        <v>3.5</v>
      </c>
      <c r="M93">
        <f t="shared" si="3"/>
        <v>3.2483731128408087</v>
      </c>
      <c r="N93">
        <f t="shared" si="4"/>
        <v>0.25162688715919135</v>
      </c>
      <c r="O93">
        <f t="shared" si="5"/>
        <v>6.3316090341424422E-2</v>
      </c>
    </row>
    <row r="94" spans="1:15" x14ac:dyDescent="0.25">
      <c r="A94">
        <v>0</v>
      </c>
      <c r="B94">
        <v>1</v>
      </c>
      <c r="C94">
        <v>1</v>
      </c>
      <c r="D94">
        <v>0</v>
      </c>
      <c r="E94">
        <v>1</v>
      </c>
      <c r="F94">
        <v>0</v>
      </c>
      <c r="G94">
        <v>0</v>
      </c>
      <c r="H94">
        <v>1</v>
      </c>
      <c r="I94">
        <v>0</v>
      </c>
      <c r="J94">
        <v>2</v>
      </c>
      <c r="K94">
        <v>5.75</v>
      </c>
      <c r="L94">
        <v>1</v>
      </c>
      <c r="M94">
        <f t="shared" si="3"/>
        <v>1.612693252756344</v>
      </c>
      <c r="N94">
        <f t="shared" si="4"/>
        <v>-0.61269325275634401</v>
      </c>
      <c r="O94">
        <f t="shared" si="5"/>
        <v>0.37539302197314922</v>
      </c>
    </row>
    <row r="95" spans="1:15" x14ac:dyDescent="0.25">
      <c r="A95">
        <v>0</v>
      </c>
      <c r="B95">
        <v>1</v>
      </c>
      <c r="C95">
        <v>1</v>
      </c>
      <c r="D95">
        <v>0</v>
      </c>
      <c r="E95">
        <v>1</v>
      </c>
      <c r="F95">
        <v>0</v>
      </c>
      <c r="G95">
        <v>0</v>
      </c>
      <c r="H95">
        <v>1</v>
      </c>
      <c r="I95">
        <v>0</v>
      </c>
      <c r="J95">
        <v>2</v>
      </c>
      <c r="K95">
        <v>16.32</v>
      </c>
      <c r="L95">
        <v>4.3</v>
      </c>
      <c r="M95">
        <f t="shared" si="3"/>
        <v>2.6114209060573188</v>
      </c>
      <c r="N95">
        <f t="shared" si="4"/>
        <v>1.688579093942681</v>
      </c>
      <c r="O95">
        <f t="shared" si="5"/>
        <v>2.8512993565002858</v>
      </c>
    </row>
    <row r="96" spans="1:15" x14ac:dyDescent="0.25">
      <c r="A96">
        <v>0</v>
      </c>
      <c r="B96">
        <v>1</v>
      </c>
      <c r="C96">
        <v>0</v>
      </c>
      <c r="D96">
        <v>1</v>
      </c>
      <c r="E96">
        <v>1</v>
      </c>
      <c r="F96">
        <v>0</v>
      </c>
      <c r="G96">
        <v>0</v>
      </c>
      <c r="H96">
        <v>1</v>
      </c>
      <c r="I96">
        <v>0</v>
      </c>
      <c r="J96">
        <v>2</v>
      </c>
      <c r="K96">
        <v>22.75</v>
      </c>
      <c r="L96">
        <v>3.25</v>
      </c>
      <c r="M96">
        <f t="shared" si="3"/>
        <v>3.2729397343978812</v>
      </c>
      <c r="N96">
        <f t="shared" si="4"/>
        <v>-2.2939734397881217E-2</v>
      </c>
      <c r="O96">
        <f t="shared" si="5"/>
        <v>5.262314142453347E-4</v>
      </c>
    </row>
    <row r="97" spans="1:15" x14ac:dyDescent="0.25">
      <c r="A97">
        <v>1</v>
      </c>
      <c r="B97">
        <v>0</v>
      </c>
      <c r="C97">
        <v>1</v>
      </c>
      <c r="D97">
        <v>0</v>
      </c>
      <c r="E97">
        <v>1</v>
      </c>
      <c r="F97">
        <v>0</v>
      </c>
      <c r="G97">
        <v>0</v>
      </c>
      <c r="H97">
        <v>1</v>
      </c>
      <c r="I97">
        <v>0</v>
      </c>
      <c r="J97">
        <v>4</v>
      </c>
      <c r="K97">
        <v>40.17</v>
      </c>
      <c r="L97">
        <v>4.7300000000000004</v>
      </c>
      <c r="M97">
        <f t="shared" si="3"/>
        <v>5.2169200043957717</v>
      </c>
      <c r="N97">
        <f t="shared" si="4"/>
        <v>-0.48692000439577132</v>
      </c>
      <c r="O97">
        <f t="shared" si="5"/>
        <v>0.23709109068077797</v>
      </c>
    </row>
    <row r="98" spans="1:15" x14ac:dyDescent="0.25">
      <c r="A98">
        <v>1</v>
      </c>
      <c r="B98">
        <v>0</v>
      </c>
      <c r="C98">
        <v>1</v>
      </c>
      <c r="D98">
        <v>0</v>
      </c>
      <c r="E98">
        <v>1</v>
      </c>
      <c r="F98">
        <v>0</v>
      </c>
      <c r="G98">
        <v>0</v>
      </c>
      <c r="H98">
        <v>1</v>
      </c>
      <c r="I98">
        <v>0</v>
      </c>
      <c r="J98">
        <v>2</v>
      </c>
      <c r="K98">
        <v>27.28</v>
      </c>
      <c r="L98">
        <v>4</v>
      </c>
      <c r="M98">
        <f t="shared" si="3"/>
        <v>3.6469984916939024</v>
      </c>
      <c r="N98">
        <f t="shared" si="4"/>
        <v>0.35300150830609756</v>
      </c>
      <c r="O98">
        <f t="shared" si="5"/>
        <v>0.12461006486637986</v>
      </c>
    </row>
    <row r="99" spans="1:15" x14ac:dyDescent="0.25">
      <c r="A99">
        <v>1</v>
      </c>
      <c r="B99">
        <v>0</v>
      </c>
      <c r="C99">
        <v>1</v>
      </c>
      <c r="D99">
        <v>0</v>
      </c>
      <c r="E99">
        <v>1</v>
      </c>
      <c r="F99">
        <v>0</v>
      </c>
      <c r="G99">
        <v>0</v>
      </c>
      <c r="H99">
        <v>1</v>
      </c>
      <c r="I99">
        <v>0</v>
      </c>
      <c r="J99">
        <v>2</v>
      </c>
      <c r="K99">
        <v>12.03</v>
      </c>
      <c r="L99">
        <v>1.5</v>
      </c>
      <c r="M99">
        <f t="shared" si="3"/>
        <v>2.2060716503656268</v>
      </c>
      <c r="N99">
        <f t="shared" si="4"/>
        <v>-0.7060716503656268</v>
      </c>
      <c r="O99">
        <f t="shared" si="5"/>
        <v>0.49853717545003995</v>
      </c>
    </row>
    <row r="100" spans="1:15" x14ac:dyDescent="0.25">
      <c r="A100">
        <v>1</v>
      </c>
      <c r="B100">
        <v>0</v>
      </c>
      <c r="C100">
        <v>1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0</v>
      </c>
      <c r="J100">
        <v>2</v>
      </c>
      <c r="K100">
        <v>21.01</v>
      </c>
      <c r="L100">
        <v>3</v>
      </c>
      <c r="M100">
        <f t="shared" si="3"/>
        <v>3.0545649641445065</v>
      </c>
      <c r="N100">
        <f t="shared" si="4"/>
        <v>-5.4564964144506511E-2</v>
      </c>
      <c r="O100">
        <f t="shared" si="5"/>
        <v>2.977335312091281E-3</v>
      </c>
    </row>
    <row r="101" spans="1:15" x14ac:dyDescent="0.25">
      <c r="A101">
        <v>1</v>
      </c>
      <c r="B101">
        <v>0</v>
      </c>
      <c r="C101">
        <v>0</v>
      </c>
      <c r="D101">
        <v>1</v>
      </c>
      <c r="E101">
        <v>1</v>
      </c>
      <c r="F101">
        <v>0</v>
      </c>
      <c r="G101">
        <v>0</v>
      </c>
      <c r="H101">
        <v>1</v>
      </c>
      <c r="I101">
        <v>0</v>
      </c>
      <c r="J101">
        <v>2</v>
      </c>
      <c r="K101">
        <v>12.46</v>
      </c>
      <c r="L101">
        <v>1.5</v>
      </c>
      <c r="M101">
        <f t="shared" si="3"/>
        <v>2.3006684427737536</v>
      </c>
      <c r="N101">
        <f t="shared" si="4"/>
        <v>-0.8006684427737536</v>
      </c>
      <c r="O101">
        <f t="shared" si="5"/>
        <v>0.64106995525374755</v>
      </c>
    </row>
    <row r="102" spans="1:15" x14ac:dyDescent="0.25">
      <c r="A102">
        <v>0</v>
      </c>
      <c r="B102">
        <v>1</v>
      </c>
      <c r="C102">
        <v>1</v>
      </c>
      <c r="D102">
        <v>0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2</v>
      </c>
      <c r="K102">
        <v>11.35</v>
      </c>
      <c r="L102">
        <v>2.5</v>
      </c>
      <c r="M102">
        <f t="shared" si="3"/>
        <v>2.1418204862932844</v>
      </c>
      <c r="N102">
        <f t="shared" si="4"/>
        <v>0.35817951370671564</v>
      </c>
      <c r="O102">
        <f t="shared" si="5"/>
        <v>0.1282925640391793</v>
      </c>
    </row>
    <row r="103" spans="1:15" x14ac:dyDescent="0.25">
      <c r="A103">
        <v>0</v>
      </c>
      <c r="B103">
        <v>1</v>
      </c>
      <c r="C103">
        <v>1</v>
      </c>
      <c r="D103">
        <v>0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2</v>
      </c>
      <c r="K103">
        <v>15.38</v>
      </c>
      <c r="L103">
        <v>3</v>
      </c>
      <c r="M103">
        <f t="shared" si="3"/>
        <v>2.5226031204279042</v>
      </c>
      <c r="N103">
        <f t="shared" si="4"/>
        <v>0.47739687957209576</v>
      </c>
      <c r="O103">
        <f t="shared" si="5"/>
        <v>0.22790778062517411</v>
      </c>
    </row>
    <row r="104" spans="1:15" x14ac:dyDescent="0.25">
      <c r="A104">
        <v>0</v>
      </c>
      <c r="B104">
        <v>1</v>
      </c>
      <c r="C104">
        <v>1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</v>
      </c>
      <c r="J104">
        <v>3</v>
      </c>
      <c r="K104">
        <v>44.3</v>
      </c>
      <c r="L104">
        <v>2.5</v>
      </c>
      <c r="M104">
        <f t="shared" si="3"/>
        <v>5.3097009599840499</v>
      </c>
      <c r="N104">
        <f t="shared" si="4"/>
        <v>-2.8097009599840499</v>
      </c>
      <c r="O104">
        <f t="shared" si="5"/>
        <v>7.894419484535292</v>
      </c>
    </row>
    <row r="105" spans="1:15" x14ac:dyDescent="0.25">
      <c r="A105">
        <v>0</v>
      </c>
      <c r="B105">
        <v>1</v>
      </c>
      <c r="C105">
        <v>1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2</v>
      </c>
      <c r="K105">
        <v>22.42</v>
      </c>
      <c r="L105">
        <v>3.48</v>
      </c>
      <c r="M105">
        <f t="shared" si="3"/>
        <v>3.0663332661969243</v>
      </c>
      <c r="N105">
        <f t="shared" si="4"/>
        <v>0.41366673380307573</v>
      </c>
      <c r="O105">
        <f t="shared" si="5"/>
        <v>0.17112016665530472</v>
      </c>
    </row>
    <row r="106" spans="1:15" x14ac:dyDescent="0.25">
      <c r="A106">
        <v>0</v>
      </c>
      <c r="B106">
        <v>1</v>
      </c>
      <c r="C106">
        <v>0</v>
      </c>
      <c r="D106">
        <v>1</v>
      </c>
      <c r="E106">
        <v>0</v>
      </c>
      <c r="F106">
        <v>1</v>
      </c>
      <c r="G106">
        <v>0</v>
      </c>
      <c r="H106">
        <v>1</v>
      </c>
      <c r="I106">
        <v>0</v>
      </c>
      <c r="J106">
        <v>2</v>
      </c>
      <c r="K106">
        <v>20.92</v>
      </c>
      <c r="L106">
        <v>4.08</v>
      </c>
      <c r="M106">
        <f t="shared" si="3"/>
        <v>2.9785701370467832</v>
      </c>
      <c r="N106">
        <f t="shared" si="4"/>
        <v>1.1014298629532169</v>
      </c>
      <c r="O106">
        <f t="shared" si="5"/>
        <v>1.2131477430051421</v>
      </c>
    </row>
    <row r="107" spans="1:15" x14ac:dyDescent="0.25">
      <c r="A107">
        <v>1</v>
      </c>
      <c r="B107">
        <v>0</v>
      </c>
      <c r="C107">
        <v>1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</v>
      </c>
      <c r="J107">
        <v>2</v>
      </c>
      <c r="K107">
        <v>15.36</v>
      </c>
      <c r="L107">
        <v>1.64</v>
      </c>
      <c r="M107">
        <f t="shared" si="3"/>
        <v>2.3992550039164247</v>
      </c>
      <c r="N107">
        <f t="shared" si="4"/>
        <v>-0.75925500391642475</v>
      </c>
      <c r="O107">
        <f t="shared" si="5"/>
        <v>0.57646816097213016</v>
      </c>
    </row>
    <row r="108" spans="1:15" x14ac:dyDescent="0.25">
      <c r="A108">
        <v>1</v>
      </c>
      <c r="B108">
        <v>0</v>
      </c>
      <c r="C108">
        <v>1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</v>
      </c>
      <c r="J108">
        <v>2</v>
      </c>
      <c r="K108">
        <v>20.49</v>
      </c>
      <c r="L108">
        <v>4.0599999999999996</v>
      </c>
      <c r="M108">
        <f t="shared" si="3"/>
        <v>2.8839733446386573</v>
      </c>
      <c r="N108">
        <f t="shared" si="4"/>
        <v>1.1760266553613423</v>
      </c>
      <c r="O108">
        <f t="shared" si="5"/>
        <v>1.3830386941203854</v>
      </c>
    </row>
    <row r="109" spans="1:15" x14ac:dyDescent="0.25">
      <c r="A109">
        <v>1</v>
      </c>
      <c r="B109">
        <v>0</v>
      </c>
      <c r="C109">
        <v>1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2</v>
      </c>
      <c r="K109">
        <v>25.21</v>
      </c>
      <c r="L109">
        <v>4.29</v>
      </c>
      <c r="M109">
        <f t="shared" si="3"/>
        <v>3.3299520129055074</v>
      </c>
      <c r="N109">
        <f t="shared" si="4"/>
        <v>0.96004798709449268</v>
      </c>
      <c r="O109">
        <f t="shared" si="5"/>
        <v>0.92169213752418722</v>
      </c>
    </row>
    <row r="110" spans="1:15" x14ac:dyDescent="0.25">
      <c r="A110">
        <v>1</v>
      </c>
      <c r="B110">
        <v>0</v>
      </c>
      <c r="C110">
        <v>0</v>
      </c>
      <c r="D110">
        <v>1</v>
      </c>
      <c r="E110">
        <v>0</v>
      </c>
      <c r="F110">
        <v>1</v>
      </c>
      <c r="G110">
        <v>0</v>
      </c>
      <c r="H110">
        <v>1</v>
      </c>
      <c r="I110">
        <v>0</v>
      </c>
      <c r="J110">
        <v>2</v>
      </c>
      <c r="K110">
        <v>18.239999999999998</v>
      </c>
      <c r="L110">
        <v>3.76</v>
      </c>
      <c r="M110">
        <f t="shared" si="3"/>
        <v>2.7253449609969618</v>
      </c>
      <c r="N110">
        <f t="shared" si="4"/>
        <v>1.034655039003038</v>
      </c>
      <c r="O110">
        <f t="shared" si="5"/>
        <v>1.0705110497343782</v>
      </c>
    </row>
    <row r="111" spans="1:15" x14ac:dyDescent="0.25">
      <c r="A111">
        <v>0</v>
      </c>
      <c r="B111">
        <v>1</v>
      </c>
      <c r="C111">
        <v>1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2</v>
      </c>
      <c r="K111">
        <v>14.31</v>
      </c>
      <c r="L111">
        <v>4</v>
      </c>
      <c r="M111">
        <f t="shared" si="3"/>
        <v>2.3000436476282484</v>
      </c>
      <c r="N111">
        <f t="shared" si="4"/>
        <v>1.6999563523717516</v>
      </c>
      <c r="O111">
        <f t="shared" si="5"/>
        <v>2.8898515999690706</v>
      </c>
    </row>
    <row r="112" spans="1:15" x14ac:dyDescent="0.25">
      <c r="A112">
        <v>1</v>
      </c>
      <c r="B112">
        <v>0</v>
      </c>
      <c r="C112">
        <v>0</v>
      </c>
      <c r="D112">
        <v>1</v>
      </c>
      <c r="E112">
        <v>0</v>
      </c>
      <c r="F112">
        <v>1</v>
      </c>
      <c r="G112">
        <v>0</v>
      </c>
      <c r="H112">
        <v>1</v>
      </c>
      <c r="I112">
        <v>0</v>
      </c>
      <c r="J112">
        <v>2</v>
      </c>
      <c r="K112">
        <v>14</v>
      </c>
      <c r="L112">
        <v>3</v>
      </c>
      <c r="M112">
        <f t="shared" si="3"/>
        <v>2.3247200556047067</v>
      </c>
      <c r="N112">
        <f t="shared" si="4"/>
        <v>0.67527994439529326</v>
      </c>
      <c r="O112">
        <f t="shared" si="5"/>
        <v>0.45600300330251037</v>
      </c>
    </row>
    <row r="113" spans="1:15" x14ac:dyDescent="0.25">
      <c r="A113">
        <v>0</v>
      </c>
      <c r="B113">
        <v>1</v>
      </c>
      <c r="C113">
        <v>0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1</v>
      </c>
      <c r="K113">
        <v>7.25</v>
      </c>
      <c r="L113">
        <v>1</v>
      </c>
      <c r="M113">
        <f t="shared" si="3"/>
        <v>1.5109407624272069</v>
      </c>
      <c r="N113">
        <f t="shared" si="4"/>
        <v>-0.51094076242720687</v>
      </c>
      <c r="O113">
        <f t="shared" si="5"/>
        <v>0.26106046270969546</v>
      </c>
    </row>
    <row r="114" spans="1:15" x14ac:dyDescent="0.25">
      <c r="A114">
        <v>1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3</v>
      </c>
      <c r="K114">
        <v>38.07</v>
      </c>
      <c r="L114">
        <v>4</v>
      </c>
      <c r="M114">
        <f t="shared" si="3"/>
        <v>4.870992009117117</v>
      </c>
      <c r="N114">
        <f t="shared" si="4"/>
        <v>-0.87099200911711705</v>
      </c>
      <c r="O114">
        <f t="shared" si="5"/>
        <v>0.75862707994587208</v>
      </c>
    </row>
    <row r="115" spans="1:15" x14ac:dyDescent="0.25">
      <c r="A115">
        <v>1</v>
      </c>
      <c r="B115">
        <v>0</v>
      </c>
      <c r="C115">
        <v>0</v>
      </c>
      <c r="D115">
        <v>1</v>
      </c>
      <c r="E115">
        <v>0</v>
      </c>
      <c r="F115">
        <v>0</v>
      </c>
      <c r="G115">
        <v>1</v>
      </c>
      <c r="H115">
        <v>1</v>
      </c>
      <c r="I115">
        <v>0</v>
      </c>
      <c r="J115">
        <v>2</v>
      </c>
      <c r="K115">
        <v>23.95</v>
      </c>
      <c r="L115">
        <v>2.5499999999999998</v>
      </c>
      <c r="M115">
        <f t="shared" si="3"/>
        <v>3.3608434818026076</v>
      </c>
      <c r="N115">
        <f t="shared" si="4"/>
        <v>-0.81084348180260779</v>
      </c>
      <c r="O115">
        <f t="shared" si="5"/>
        <v>0.65746715198177597</v>
      </c>
    </row>
    <row r="116" spans="1:15" x14ac:dyDescent="0.25">
      <c r="A116">
        <v>0</v>
      </c>
      <c r="B116">
        <v>1</v>
      </c>
      <c r="C116">
        <v>0</v>
      </c>
      <c r="D116">
        <v>1</v>
      </c>
      <c r="E116">
        <v>0</v>
      </c>
      <c r="F116">
        <v>0</v>
      </c>
      <c r="G116">
        <v>1</v>
      </c>
      <c r="H116">
        <v>1</v>
      </c>
      <c r="I116">
        <v>0</v>
      </c>
      <c r="J116">
        <v>3</v>
      </c>
      <c r="K116">
        <v>25.71</v>
      </c>
      <c r="L116">
        <v>4</v>
      </c>
      <c r="M116">
        <f t="shared" si="3"/>
        <v>3.7031326150962984</v>
      </c>
      <c r="N116">
        <f t="shared" si="4"/>
        <v>0.29686738490370157</v>
      </c>
      <c r="O116">
        <f t="shared" si="5"/>
        <v>8.8130244219562504E-2</v>
      </c>
    </row>
    <row r="117" spans="1:15" x14ac:dyDescent="0.25">
      <c r="A117">
        <v>0</v>
      </c>
      <c r="B117">
        <v>1</v>
      </c>
      <c r="C117">
        <v>0</v>
      </c>
      <c r="D117">
        <v>1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2</v>
      </c>
      <c r="K117">
        <v>17.309999999999999</v>
      </c>
      <c r="L117">
        <v>3.5</v>
      </c>
      <c r="M117">
        <f t="shared" si="3"/>
        <v>2.7334497620373783</v>
      </c>
      <c r="N117">
        <f t="shared" si="4"/>
        <v>0.76655023796262167</v>
      </c>
      <c r="O117">
        <f t="shared" si="5"/>
        <v>0.5875992673205519</v>
      </c>
    </row>
    <row r="118" spans="1:15" x14ac:dyDescent="0.25">
      <c r="A118">
        <v>1</v>
      </c>
      <c r="B118">
        <v>0</v>
      </c>
      <c r="C118">
        <v>0</v>
      </c>
      <c r="D118">
        <v>1</v>
      </c>
      <c r="E118">
        <v>0</v>
      </c>
      <c r="F118">
        <v>0</v>
      </c>
      <c r="G118">
        <v>1</v>
      </c>
      <c r="H118">
        <v>1</v>
      </c>
      <c r="I118">
        <v>0</v>
      </c>
      <c r="J118">
        <v>4</v>
      </c>
      <c r="K118">
        <v>29.93</v>
      </c>
      <c r="L118">
        <v>5.07</v>
      </c>
      <c r="M118">
        <f t="shared" si="3"/>
        <v>4.2778597831222882</v>
      </c>
      <c r="N118">
        <f t="shared" si="4"/>
        <v>0.79214021687771208</v>
      </c>
      <c r="O118">
        <f t="shared" si="5"/>
        <v>0.62748612319506869</v>
      </c>
    </row>
    <row r="119" spans="1:15" x14ac:dyDescent="0.25">
      <c r="A119">
        <v>0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2</v>
      </c>
      <c r="K119">
        <v>10.65</v>
      </c>
      <c r="L119">
        <v>1.5</v>
      </c>
      <c r="M119">
        <f t="shared" si="3"/>
        <v>2.0355163654016324</v>
      </c>
      <c r="N119">
        <f t="shared" si="4"/>
        <v>-0.53551636540163239</v>
      </c>
      <c r="O119">
        <f t="shared" si="5"/>
        <v>0.28677777761297468</v>
      </c>
    </row>
    <row r="120" spans="1:15" x14ac:dyDescent="0.25">
      <c r="A120">
        <v>0</v>
      </c>
      <c r="B120">
        <v>1</v>
      </c>
      <c r="C120">
        <v>0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2</v>
      </c>
      <c r="K120">
        <v>12.43</v>
      </c>
      <c r="L120">
        <v>1.8</v>
      </c>
      <c r="M120">
        <f t="shared" si="3"/>
        <v>2.2037032360615885</v>
      </c>
      <c r="N120">
        <f t="shared" si="4"/>
        <v>-0.40370323606158842</v>
      </c>
      <c r="O120">
        <f t="shared" si="5"/>
        <v>0.16297630280659858</v>
      </c>
    </row>
    <row r="121" spans="1:15" x14ac:dyDescent="0.25">
      <c r="A121">
        <v>0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4</v>
      </c>
      <c r="K121">
        <v>24.08</v>
      </c>
      <c r="L121">
        <v>2.92</v>
      </c>
      <c r="M121">
        <f t="shared" si="3"/>
        <v>3.656460861337421</v>
      </c>
      <c r="N121">
        <f t="shared" si="4"/>
        <v>-0.73646086133742106</v>
      </c>
      <c r="O121">
        <f t="shared" si="5"/>
        <v>0.54237460028185613</v>
      </c>
    </row>
    <row r="122" spans="1:15" x14ac:dyDescent="0.25">
      <c r="A122">
        <v>1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1</v>
      </c>
      <c r="J122">
        <v>2</v>
      </c>
      <c r="K122">
        <v>11.69</v>
      </c>
      <c r="L122">
        <v>2.31</v>
      </c>
      <c r="M122">
        <f t="shared" si="3"/>
        <v>2.1337828516299213</v>
      </c>
      <c r="N122">
        <f t="shared" si="4"/>
        <v>0.17621714837007874</v>
      </c>
      <c r="O122">
        <f t="shared" si="5"/>
        <v>3.1052483379682343E-2</v>
      </c>
    </row>
    <row r="123" spans="1:15" x14ac:dyDescent="0.25">
      <c r="A123">
        <v>0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2</v>
      </c>
      <c r="K123">
        <v>13.42</v>
      </c>
      <c r="L123">
        <v>1.68</v>
      </c>
      <c r="M123">
        <f t="shared" si="3"/>
        <v>2.2972453719904404</v>
      </c>
      <c r="N123">
        <f t="shared" si="4"/>
        <v>-0.61724537199044049</v>
      </c>
      <c r="O123">
        <f t="shared" si="5"/>
        <v>0.38099184924361729</v>
      </c>
    </row>
    <row r="124" spans="1:15" x14ac:dyDescent="0.25">
      <c r="A124">
        <v>1</v>
      </c>
      <c r="B124">
        <v>0</v>
      </c>
      <c r="C124">
        <v>0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1</v>
      </c>
      <c r="J124">
        <v>2</v>
      </c>
      <c r="K124">
        <v>14.26</v>
      </c>
      <c r="L124">
        <v>2.5</v>
      </c>
      <c r="M124">
        <f t="shared" si="3"/>
        <v>2.3766144570209815</v>
      </c>
      <c r="N124">
        <f t="shared" si="4"/>
        <v>0.12338554297901849</v>
      </c>
      <c r="O124">
        <f t="shared" si="5"/>
        <v>1.5223992216227219E-2</v>
      </c>
    </row>
    <row r="125" spans="1:15" x14ac:dyDescent="0.25">
      <c r="A125">
        <v>1</v>
      </c>
      <c r="B125">
        <v>0</v>
      </c>
      <c r="C125">
        <v>0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1</v>
      </c>
      <c r="J125">
        <v>2</v>
      </c>
      <c r="K125">
        <v>15.95</v>
      </c>
      <c r="L125">
        <v>2</v>
      </c>
      <c r="M125">
        <f t="shared" si="3"/>
        <v>2.536297497141951</v>
      </c>
      <c r="N125">
        <f t="shared" si="4"/>
        <v>-0.53629749714195096</v>
      </c>
      <c r="O125">
        <f t="shared" si="5"/>
        <v>0.28761500544072088</v>
      </c>
    </row>
    <row r="126" spans="1:15" x14ac:dyDescent="0.25">
      <c r="A126">
        <v>0</v>
      </c>
      <c r="B126">
        <v>1</v>
      </c>
      <c r="C126">
        <v>0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2</v>
      </c>
      <c r="K126">
        <v>12.48</v>
      </c>
      <c r="L126">
        <v>2.52</v>
      </c>
      <c r="M126">
        <f t="shared" si="3"/>
        <v>2.2084275863610254</v>
      </c>
      <c r="N126">
        <f t="shared" si="4"/>
        <v>0.31157241363897459</v>
      </c>
      <c r="O126">
        <f t="shared" si="5"/>
        <v>9.7077368940816283E-2</v>
      </c>
    </row>
    <row r="127" spans="1:15" x14ac:dyDescent="0.25">
      <c r="A127">
        <v>0</v>
      </c>
      <c r="B127">
        <v>1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6</v>
      </c>
      <c r="K127">
        <v>29.8</v>
      </c>
      <c r="L127">
        <v>4.2</v>
      </c>
      <c r="M127">
        <f t="shared" si="3"/>
        <v>4.548910541100029</v>
      </c>
      <c r="N127">
        <f t="shared" si="4"/>
        <v>-0.34891054110002884</v>
      </c>
      <c r="O127">
        <f t="shared" si="5"/>
        <v>0.12173856569071491</v>
      </c>
    </row>
    <row r="128" spans="1:15" x14ac:dyDescent="0.25">
      <c r="A128">
        <v>1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2</v>
      </c>
      <c r="K128">
        <v>8.52</v>
      </c>
      <c r="L128">
        <v>1.48</v>
      </c>
      <c r="M128">
        <f t="shared" si="3"/>
        <v>1.8342590426456176</v>
      </c>
      <c r="N128">
        <f t="shared" si="4"/>
        <v>-0.35425904264561758</v>
      </c>
      <c r="O128">
        <f t="shared" si="5"/>
        <v>0.12549946929618949</v>
      </c>
    </row>
    <row r="129" spans="1:15" x14ac:dyDescent="0.25">
      <c r="A129">
        <v>0</v>
      </c>
      <c r="B129">
        <v>1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2</v>
      </c>
      <c r="K129">
        <v>14.52</v>
      </c>
      <c r="L129">
        <v>2</v>
      </c>
      <c r="M129">
        <f t="shared" si="3"/>
        <v>2.4011810785780536</v>
      </c>
      <c r="N129">
        <f t="shared" si="4"/>
        <v>-0.40118107857805363</v>
      </c>
      <c r="O129">
        <f t="shared" si="5"/>
        <v>0.16094625780905045</v>
      </c>
    </row>
    <row r="130" spans="1:15" x14ac:dyDescent="0.25">
      <c r="A130">
        <v>0</v>
      </c>
      <c r="B130">
        <v>1</v>
      </c>
      <c r="C130">
        <v>0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2</v>
      </c>
      <c r="K130">
        <v>11.38</v>
      </c>
      <c r="L130">
        <v>2</v>
      </c>
      <c r="M130">
        <f t="shared" si="3"/>
        <v>2.1044918797734122</v>
      </c>
      <c r="N130">
        <f t="shared" si="4"/>
        <v>-0.10449187977341223</v>
      </c>
      <c r="O130">
        <f t="shared" si="5"/>
        <v>1.0918552938581237E-2</v>
      </c>
    </row>
    <row r="131" spans="1:15" x14ac:dyDescent="0.25">
      <c r="A131">
        <v>1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3</v>
      </c>
      <c r="K131">
        <v>22.82</v>
      </c>
      <c r="L131">
        <v>2.1800000000000002</v>
      </c>
      <c r="M131">
        <f t="shared" ref="M131:M194" si="6">A131*$R$30+B131*$R$32+C131*$R$31+D131*$R$33+E131*$R$34+F131*$R$35+G131*$R$36+H131*$R$37+I131*$R$38+J131*$R$39+K131*$R$40+$R$29</f>
        <v>3.3614152310380998</v>
      </c>
      <c r="N131">
        <f t="shared" ref="N131:N194" si="7">L131-M131</f>
        <v>-1.1814152310380996</v>
      </c>
      <c r="O131">
        <f t="shared" ref="O131:O194" si="8">N131^2</f>
        <v>1.3957419481288063</v>
      </c>
    </row>
    <row r="132" spans="1:15" x14ac:dyDescent="0.25">
      <c r="A132">
        <v>1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1</v>
      </c>
      <c r="J132">
        <v>2</v>
      </c>
      <c r="K132">
        <v>19.079999999999998</v>
      </c>
      <c r="L132">
        <v>1.5</v>
      </c>
      <c r="M132">
        <f t="shared" si="6"/>
        <v>2.8320418258867051</v>
      </c>
      <c r="N132">
        <f t="shared" si="7"/>
        <v>-1.3320418258867051</v>
      </c>
      <c r="O132">
        <f t="shared" si="8"/>
        <v>1.7743354259115871</v>
      </c>
    </row>
    <row r="133" spans="1:15" x14ac:dyDescent="0.25">
      <c r="A133">
        <v>0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2</v>
      </c>
      <c r="K133">
        <v>20.27</v>
      </c>
      <c r="L133">
        <v>2.83</v>
      </c>
      <c r="M133">
        <f t="shared" si="6"/>
        <v>2.9444813630133053</v>
      </c>
      <c r="N133">
        <f t="shared" si="7"/>
        <v>-0.11448136301330525</v>
      </c>
      <c r="O133">
        <f t="shared" si="8"/>
        <v>1.3105982477384174E-2</v>
      </c>
    </row>
    <row r="134" spans="1:15" x14ac:dyDescent="0.25">
      <c r="A134">
        <v>0</v>
      </c>
      <c r="B134">
        <v>1</v>
      </c>
      <c r="C134">
        <v>0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2</v>
      </c>
      <c r="K134">
        <v>11.17</v>
      </c>
      <c r="L134">
        <v>1.5</v>
      </c>
      <c r="M134">
        <f t="shared" si="6"/>
        <v>2.0846496085157771</v>
      </c>
      <c r="N134">
        <f t="shared" si="7"/>
        <v>-0.58464960851577708</v>
      </c>
      <c r="O134">
        <f t="shared" si="8"/>
        <v>0.34181516473765139</v>
      </c>
    </row>
    <row r="135" spans="1:15" x14ac:dyDescent="0.25">
      <c r="A135">
        <v>0</v>
      </c>
      <c r="B135">
        <v>1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2</v>
      </c>
      <c r="K135">
        <v>12.26</v>
      </c>
      <c r="L135">
        <v>2</v>
      </c>
      <c r="M135">
        <f t="shared" si="6"/>
        <v>2.1876404450435025</v>
      </c>
      <c r="N135">
        <f t="shared" si="7"/>
        <v>-0.18764044504350252</v>
      </c>
      <c r="O135">
        <f t="shared" si="8"/>
        <v>3.520893661612369E-2</v>
      </c>
    </row>
    <row r="136" spans="1:15" x14ac:dyDescent="0.25">
      <c r="A136">
        <v>0</v>
      </c>
      <c r="B136">
        <v>1</v>
      </c>
      <c r="C136">
        <v>0</v>
      </c>
      <c r="D136">
        <v>1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2</v>
      </c>
      <c r="K136">
        <v>18.260000000000002</v>
      </c>
      <c r="L136">
        <v>3.25</v>
      </c>
      <c r="M136">
        <f t="shared" si="6"/>
        <v>2.754562480975939</v>
      </c>
      <c r="N136">
        <f t="shared" si="7"/>
        <v>0.49543751902406097</v>
      </c>
      <c r="O136">
        <f t="shared" si="8"/>
        <v>0.24545833525671679</v>
      </c>
    </row>
    <row r="137" spans="1:15" x14ac:dyDescent="0.25">
      <c r="A137">
        <v>0</v>
      </c>
      <c r="B137">
        <v>1</v>
      </c>
      <c r="C137">
        <v>0</v>
      </c>
      <c r="D137">
        <v>1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2</v>
      </c>
      <c r="K137">
        <v>8.51</v>
      </c>
      <c r="L137">
        <v>1.25</v>
      </c>
      <c r="M137">
        <f t="shared" si="6"/>
        <v>1.8333141725857303</v>
      </c>
      <c r="N137">
        <f t="shared" si="7"/>
        <v>-0.58331417258573026</v>
      </c>
      <c r="O137">
        <f t="shared" si="8"/>
        <v>0.34025542393937513</v>
      </c>
    </row>
    <row r="138" spans="1:15" x14ac:dyDescent="0.25">
      <c r="A138">
        <v>0</v>
      </c>
      <c r="B138">
        <v>1</v>
      </c>
      <c r="C138">
        <v>0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2</v>
      </c>
      <c r="K138">
        <v>10.33</v>
      </c>
      <c r="L138">
        <v>2</v>
      </c>
      <c r="M138">
        <f t="shared" si="6"/>
        <v>2.0052805234852356</v>
      </c>
      <c r="N138">
        <f t="shared" si="7"/>
        <v>-5.2805234852355554E-3</v>
      </c>
      <c r="O138">
        <f t="shared" si="8"/>
        <v>2.7883928278124257E-5</v>
      </c>
    </row>
    <row r="139" spans="1:15" x14ac:dyDescent="0.25">
      <c r="A139">
        <v>0</v>
      </c>
      <c r="B139">
        <v>1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2</v>
      </c>
      <c r="K139">
        <v>14.15</v>
      </c>
      <c r="L139">
        <v>2</v>
      </c>
      <c r="M139">
        <f t="shared" si="6"/>
        <v>2.3662208863622203</v>
      </c>
      <c r="N139">
        <f t="shared" si="7"/>
        <v>-0.36622088636222028</v>
      </c>
      <c r="O139">
        <f t="shared" si="8"/>
        <v>0.13411773760793025</v>
      </c>
    </row>
    <row r="140" spans="1:15" x14ac:dyDescent="0.25">
      <c r="A140">
        <v>1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2</v>
      </c>
      <c r="K140">
        <v>16</v>
      </c>
      <c r="L140">
        <v>2</v>
      </c>
      <c r="M140">
        <f t="shared" si="6"/>
        <v>2.4870544676084201</v>
      </c>
      <c r="N140">
        <f t="shared" si="7"/>
        <v>-0.48705446760842008</v>
      </c>
      <c r="O140">
        <f t="shared" si="8"/>
        <v>0.23722205441732153</v>
      </c>
    </row>
    <row r="141" spans="1:15" x14ac:dyDescent="0.25">
      <c r="A141">
        <v>0</v>
      </c>
      <c r="B141">
        <v>1</v>
      </c>
      <c r="C141">
        <v>0</v>
      </c>
      <c r="D141">
        <v>1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2</v>
      </c>
      <c r="K141">
        <v>13.16</v>
      </c>
      <c r="L141">
        <v>2.75</v>
      </c>
      <c r="M141">
        <f t="shared" si="6"/>
        <v>2.2726787504333679</v>
      </c>
      <c r="N141">
        <f t="shared" si="7"/>
        <v>0.47732124956663213</v>
      </c>
      <c r="O141">
        <f t="shared" si="8"/>
        <v>0.22783557528785112</v>
      </c>
    </row>
    <row r="142" spans="1:15" x14ac:dyDescent="0.25">
      <c r="A142">
        <v>0</v>
      </c>
      <c r="B142">
        <v>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2</v>
      </c>
      <c r="K142">
        <v>17.47</v>
      </c>
      <c r="L142">
        <v>3.5</v>
      </c>
      <c r="M142">
        <f t="shared" si="6"/>
        <v>2.6799177462448345</v>
      </c>
      <c r="N142">
        <f t="shared" si="7"/>
        <v>0.82008225375516552</v>
      </c>
      <c r="O142">
        <f t="shared" si="8"/>
        <v>0.67253490292415175</v>
      </c>
    </row>
    <row r="143" spans="1:15" x14ac:dyDescent="0.25">
      <c r="A143">
        <v>1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6</v>
      </c>
      <c r="K143">
        <v>34.299999999999997</v>
      </c>
      <c r="L143">
        <v>6.7</v>
      </c>
      <c r="M143">
        <f t="shared" si="6"/>
        <v>4.9741020680493557</v>
      </c>
      <c r="N143">
        <f t="shared" si="7"/>
        <v>1.7258979319506444</v>
      </c>
      <c r="O143">
        <f t="shared" si="8"/>
        <v>2.9787236715115113</v>
      </c>
    </row>
    <row r="144" spans="1:15" x14ac:dyDescent="0.25">
      <c r="A144">
        <v>1</v>
      </c>
      <c r="B144">
        <v>0</v>
      </c>
      <c r="C144">
        <v>0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1</v>
      </c>
      <c r="J144">
        <v>5</v>
      </c>
      <c r="K144">
        <v>41.19</v>
      </c>
      <c r="L144">
        <v>5</v>
      </c>
      <c r="M144">
        <f t="shared" si="6"/>
        <v>5.4491255365582605</v>
      </c>
      <c r="N144">
        <f t="shared" si="7"/>
        <v>-0.44912553655826049</v>
      </c>
      <c r="O144">
        <f t="shared" si="8"/>
        <v>0.20171374758874538</v>
      </c>
    </row>
    <row r="145" spans="1:15" x14ac:dyDescent="0.25">
      <c r="A145">
        <v>0</v>
      </c>
      <c r="B145">
        <v>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6</v>
      </c>
      <c r="K145">
        <v>27.05</v>
      </c>
      <c r="L145">
        <v>5</v>
      </c>
      <c r="M145">
        <f t="shared" si="6"/>
        <v>4.2890712746309951</v>
      </c>
      <c r="N145">
        <f t="shared" si="7"/>
        <v>0.71092872536900487</v>
      </c>
      <c r="O145">
        <f t="shared" si="8"/>
        <v>0.50541965255479793</v>
      </c>
    </row>
    <row r="146" spans="1:15" x14ac:dyDescent="0.25">
      <c r="A146">
        <v>0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2</v>
      </c>
      <c r="K146">
        <v>16.43</v>
      </c>
      <c r="L146">
        <v>2.2999999999999998</v>
      </c>
      <c r="M146">
        <f t="shared" si="6"/>
        <v>2.581651260016546</v>
      </c>
      <c r="N146">
        <f t="shared" si="7"/>
        <v>-0.28165126001654617</v>
      </c>
      <c r="O146">
        <f t="shared" si="8"/>
        <v>7.9327432268908094E-2</v>
      </c>
    </row>
    <row r="147" spans="1:15" x14ac:dyDescent="0.25">
      <c r="A147">
        <v>0</v>
      </c>
      <c r="B147">
        <v>1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2</v>
      </c>
      <c r="K147">
        <v>8.35</v>
      </c>
      <c r="L147">
        <v>1.5</v>
      </c>
      <c r="M147">
        <f t="shared" si="6"/>
        <v>1.8181962516275318</v>
      </c>
      <c r="N147">
        <f t="shared" si="7"/>
        <v>-0.31819625162753185</v>
      </c>
      <c r="O147">
        <f t="shared" si="8"/>
        <v>0.10124885454981156</v>
      </c>
    </row>
    <row r="148" spans="1:15" x14ac:dyDescent="0.25">
      <c r="A148">
        <v>0</v>
      </c>
      <c r="B148">
        <v>1</v>
      </c>
      <c r="C148">
        <v>0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3</v>
      </c>
      <c r="K148">
        <v>18.64</v>
      </c>
      <c r="L148">
        <v>1.36</v>
      </c>
      <c r="M148">
        <f t="shared" si="6"/>
        <v>2.9664595460051695</v>
      </c>
      <c r="N148">
        <f t="shared" si="7"/>
        <v>-1.6064595460051694</v>
      </c>
      <c r="O148">
        <f t="shared" si="8"/>
        <v>2.5807122729511347</v>
      </c>
    </row>
    <row r="149" spans="1:15" x14ac:dyDescent="0.25">
      <c r="A149">
        <v>0</v>
      </c>
      <c r="B149">
        <v>1</v>
      </c>
      <c r="C149">
        <v>0</v>
      </c>
      <c r="D149">
        <v>1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2</v>
      </c>
      <c r="K149">
        <v>11.87</v>
      </c>
      <c r="L149">
        <v>1.63</v>
      </c>
      <c r="M149">
        <f t="shared" si="6"/>
        <v>2.1507905127078946</v>
      </c>
      <c r="N149">
        <f t="shared" si="7"/>
        <v>-0.52079051270789467</v>
      </c>
      <c r="O149">
        <f t="shared" si="8"/>
        <v>0.27122275812655178</v>
      </c>
    </row>
    <row r="150" spans="1:15" x14ac:dyDescent="0.25">
      <c r="A150">
        <v>1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2</v>
      </c>
      <c r="K150">
        <v>9.7799999999999994</v>
      </c>
      <c r="L150">
        <v>1.73</v>
      </c>
      <c r="M150">
        <f t="shared" si="6"/>
        <v>1.9533126701914292</v>
      </c>
      <c r="N150">
        <f t="shared" si="7"/>
        <v>-0.2233126701914292</v>
      </c>
      <c r="O150">
        <f t="shared" si="8"/>
        <v>4.9868548668026029E-2</v>
      </c>
    </row>
    <row r="151" spans="1:15" x14ac:dyDescent="0.25">
      <c r="A151">
        <v>1</v>
      </c>
      <c r="B151">
        <v>0</v>
      </c>
      <c r="C151">
        <v>0</v>
      </c>
      <c r="D151">
        <v>1</v>
      </c>
      <c r="E151">
        <v>0</v>
      </c>
      <c r="F151">
        <v>0</v>
      </c>
      <c r="G151">
        <v>0</v>
      </c>
      <c r="H151">
        <v>0</v>
      </c>
      <c r="I151">
        <v>1</v>
      </c>
      <c r="J151">
        <v>2</v>
      </c>
      <c r="K151">
        <v>7.51</v>
      </c>
      <c r="L151">
        <v>2</v>
      </c>
      <c r="M151">
        <f t="shared" si="6"/>
        <v>1.7388271665969908</v>
      </c>
      <c r="N151">
        <f t="shared" si="7"/>
        <v>0.26117283340300923</v>
      </c>
      <c r="O151">
        <f t="shared" si="8"/>
        <v>6.8211248907756011E-2</v>
      </c>
    </row>
    <row r="152" spans="1:15" x14ac:dyDescent="0.25">
      <c r="A152">
        <v>1</v>
      </c>
      <c r="B152">
        <v>0</v>
      </c>
      <c r="C152">
        <v>0</v>
      </c>
      <c r="D152">
        <v>1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2</v>
      </c>
      <c r="K152">
        <v>14.07</v>
      </c>
      <c r="L152">
        <v>2.5</v>
      </c>
      <c r="M152">
        <f t="shared" si="6"/>
        <v>2.427311862633863</v>
      </c>
      <c r="N152">
        <f t="shared" si="7"/>
        <v>7.2688137366136996E-2</v>
      </c>
      <c r="O152">
        <f t="shared" si="8"/>
        <v>5.2835653137584017E-3</v>
      </c>
    </row>
    <row r="153" spans="1:15" x14ac:dyDescent="0.25">
      <c r="A153">
        <v>1</v>
      </c>
      <c r="B153">
        <v>0</v>
      </c>
      <c r="C153">
        <v>0</v>
      </c>
      <c r="D153">
        <v>1</v>
      </c>
      <c r="E153">
        <v>0</v>
      </c>
      <c r="F153">
        <v>0</v>
      </c>
      <c r="G153">
        <v>1</v>
      </c>
      <c r="H153">
        <v>1</v>
      </c>
      <c r="I153">
        <v>0</v>
      </c>
      <c r="J153">
        <v>2</v>
      </c>
      <c r="K153">
        <v>13.13</v>
      </c>
      <c r="L153">
        <v>2</v>
      </c>
      <c r="M153">
        <f t="shared" si="6"/>
        <v>2.338494077004448</v>
      </c>
      <c r="N153">
        <f t="shared" si="7"/>
        <v>-0.338494077004448</v>
      </c>
      <c r="O153">
        <f t="shared" si="8"/>
        <v>0.11457824016709317</v>
      </c>
    </row>
    <row r="154" spans="1:15" x14ac:dyDescent="0.25">
      <c r="A154">
        <v>1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3</v>
      </c>
      <c r="K154">
        <v>17.260000000000002</v>
      </c>
      <c r="L154">
        <v>2.74</v>
      </c>
      <c r="M154">
        <f t="shared" si="6"/>
        <v>2.9047174144914516</v>
      </c>
      <c r="N154">
        <f t="shared" si="7"/>
        <v>-0.16471741449145139</v>
      </c>
      <c r="O154">
        <f t="shared" si="8"/>
        <v>2.71318266367486E-2</v>
      </c>
    </row>
    <row r="155" spans="1:15" x14ac:dyDescent="0.25">
      <c r="A155">
        <v>1</v>
      </c>
      <c r="B155">
        <v>0</v>
      </c>
      <c r="C155">
        <v>0</v>
      </c>
      <c r="D155">
        <v>1</v>
      </c>
      <c r="E155">
        <v>0</v>
      </c>
      <c r="F155">
        <v>0</v>
      </c>
      <c r="G155">
        <v>1</v>
      </c>
      <c r="H155">
        <v>1</v>
      </c>
      <c r="I155">
        <v>0</v>
      </c>
      <c r="J155">
        <v>4</v>
      </c>
      <c r="K155">
        <v>24.55</v>
      </c>
      <c r="L155">
        <v>2</v>
      </c>
      <c r="M155">
        <f t="shared" si="6"/>
        <v>3.7695196909028708</v>
      </c>
      <c r="N155">
        <f t="shared" si="7"/>
        <v>-1.7695196909028708</v>
      </c>
      <c r="O155">
        <f t="shared" si="8"/>
        <v>3.1311999364929912</v>
      </c>
    </row>
    <row r="156" spans="1:15" x14ac:dyDescent="0.25">
      <c r="A156">
        <v>1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4</v>
      </c>
      <c r="K156">
        <v>19.77</v>
      </c>
      <c r="L156">
        <v>2</v>
      </c>
      <c r="M156">
        <f t="shared" si="6"/>
        <v>3.317871802276696</v>
      </c>
      <c r="N156">
        <f t="shared" si="7"/>
        <v>-1.317871802276696</v>
      </c>
      <c r="O156">
        <f t="shared" si="8"/>
        <v>1.7367860872360268</v>
      </c>
    </row>
    <row r="157" spans="1:15" x14ac:dyDescent="0.25">
      <c r="A157">
        <v>0</v>
      </c>
      <c r="B157">
        <v>1</v>
      </c>
      <c r="C157">
        <v>0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5</v>
      </c>
      <c r="K157">
        <v>29.85</v>
      </c>
      <c r="L157">
        <v>5.14</v>
      </c>
      <c r="M157">
        <f t="shared" si="6"/>
        <v>4.4462928253966982</v>
      </c>
      <c r="N157">
        <f t="shared" si="7"/>
        <v>0.69370717460330145</v>
      </c>
      <c r="O157">
        <f t="shared" si="8"/>
        <v>0.48122964409609537</v>
      </c>
    </row>
    <row r="158" spans="1:15" x14ac:dyDescent="0.25">
      <c r="A158">
        <v>1</v>
      </c>
      <c r="B158">
        <v>0</v>
      </c>
      <c r="C158">
        <v>0</v>
      </c>
      <c r="D158">
        <v>1</v>
      </c>
      <c r="E158">
        <v>0</v>
      </c>
      <c r="F158">
        <v>0</v>
      </c>
      <c r="G158">
        <v>1</v>
      </c>
      <c r="H158">
        <v>1</v>
      </c>
      <c r="I158">
        <v>0</v>
      </c>
      <c r="J158">
        <v>6</v>
      </c>
      <c r="K158">
        <v>48.17</v>
      </c>
      <c r="L158">
        <v>5</v>
      </c>
      <c r="M158">
        <f t="shared" si="6"/>
        <v>6.3532867778639126</v>
      </c>
      <c r="N158">
        <f t="shared" si="7"/>
        <v>-1.3532867778639126</v>
      </c>
      <c r="O158">
        <f t="shared" si="8"/>
        <v>1.8313851031412907</v>
      </c>
    </row>
    <row r="159" spans="1:15" x14ac:dyDescent="0.25">
      <c r="A159">
        <v>0</v>
      </c>
      <c r="B159">
        <v>1</v>
      </c>
      <c r="C159">
        <v>0</v>
      </c>
      <c r="D159">
        <v>1</v>
      </c>
      <c r="E159">
        <v>0</v>
      </c>
      <c r="F159">
        <v>0</v>
      </c>
      <c r="G159">
        <v>1</v>
      </c>
      <c r="H159">
        <v>1</v>
      </c>
      <c r="I159">
        <v>0</v>
      </c>
      <c r="J159">
        <v>4</v>
      </c>
      <c r="K159">
        <v>25</v>
      </c>
      <c r="L159">
        <v>3.75</v>
      </c>
      <c r="M159">
        <f t="shared" si="6"/>
        <v>3.8120388435978034</v>
      </c>
      <c r="N159">
        <f t="shared" si="7"/>
        <v>-6.2038843597803428E-2</v>
      </c>
      <c r="O159">
        <f t="shared" si="8"/>
        <v>3.8488181149527153E-3</v>
      </c>
    </row>
    <row r="160" spans="1:15" x14ac:dyDescent="0.25">
      <c r="A160">
        <v>0</v>
      </c>
      <c r="B160">
        <v>1</v>
      </c>
      <c r="C160">
        <v>0</v>
      </c>
      <c r="D160">
        <v>1</v>
      </c>
      <c r="E160">
        <v>0</v>
      </c>
      <c r="F160">
        <v>0</v>
      </c>
      <c r="G160">
        <v>1</v>
      </c>
      <c r="H160">
        <v>1</v>
      </c>
      <c r="I160">
        <v>0</v>
      </c>
      <c r="J160">
        <v>2</v>
      </c>
      <c r="K160">
        <v>13.39</v>
      </c>
      <c r="L160">
        <v>2.61</v>
      </c>
      <c r="M160">
        <f t="shared" si="6"/>
        <v>2.3630606985615206</v>
      </c>
      <c r="N160">
        <f t="shared" si="7"/>
        <v>0.24693930143847931</v>
      </c>
      <c r="O160">
        <f t="shared" si="8"/>
        <v>6.0979018594924148E-2</v>
      </c>
    </row>
    <row r="161" spans="1:15" x14ac:dyDescent="0.25">
      <c r="A161">
        <v>1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4</v>
      </c>
      <c r="K161">
        <v>16.489999999999998</v>
      </c>
      <c r="L161">
        <v>2</v>
      </c>
      <c r="M161">
        <f t="shared" si="6"/>
        <v>3.007954422633631</v>
      </c>
      <c r="N161">
        <f t="shared" si="7"/>
        <v>-1.007954422633631</v>
      </c>
      <c r="O161">
        <f t="shared" si="8"/>
        <v>1.0159721181066965</v>
      </c>
    </row>
    <row r="162" spans="1:15" x14ac:dyDescent="0.25">
      <c r="A162">
        <v>1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1</v>
      </c>
      <c r="H162">
        <v>1</v>
      </c>
      <c r="I162">
        <v>0</v>
      </c>
      <c r="J162">
        <v>4</v>
      </c>
      <c r="K162">
        <v>21.5</v>
      </c>
      <c r="L162">
        <v>3.5</v>
      </c>
      <c r="M162">
        <f t="shared" si="6"/>
        <v>3.4813343226372151</v>
      </c>
      <c r="N162">
        <f t="shared" si="7"/>
        <v>1.8665677362784905E-2</v>
      </c>
      <c r="O162">
        <f t="shared" si="8"/>
        <v>3.4840751141158085E-4</v>
      </c>
    </row>
    <row r="163" spans="1:15" x14ac:dyDescent="0.25">
      <c r="A163">
        <v>1</v>
      </c>
      <c r="B163">
        <v>0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2</v>
      </c>
      <c r="K163">
        <v>12.66</v>
      </c>
      <c r="L163">
        <v>2.5</v>
      </c>
      <c r="M163">
        <f t="shared" si="6"/>
        <v>2.2940851841897407</v>
      </c>
      <c r="N163">
        <f t="shared" si="7"/>
        <v>0.20591481581025928</v>
      </c>
      <c r="O163">
        <f t="shared" si="8"/>
        <v>4.2400911370173003E-2</v>
      </c>
    </row>
    <row r="164" spans="1:15" x14ac:dyDescent="0.25">
      <c r="A164">
        <v>0</v>
      </c>
      <c r="B164">
        <v>1</v>
      </c>
      <c r="C164">
        <v>0</v>
      </c>
      <c r="D164">
        <v>1</v>
      </c>
      <c r="E164">
        <v>0</v>
      </c>
      <c r="F164">
        <v>0</v>
      </c>
      <c r="G164">
        <v>1</v>
      </c>
      <c r="H164">
        <v>1</v>
      </c>
      <c r="I164">
        <v>0</v>
      </c>
      <c r="J164">
        <v>3</v>
      </c>
      <c r="K164">
        <v>16.21</v>
      </c>
      <c r="L164">
        <v>2</v>
      </c>
      <c r="M164">
        <f t="shared" si="6"/>
        <v>2.8055060582032745</v>
      </c>
      <c r="N164">
        <f t="shared" si="7"/>
        <v>-0.80550605820327448</v>
      </c>
      <c r="O164">
        <f t="shared" si="8"/>
        <v>0.64884000980217704</v>
      </c>
    </row>
    <row r="165" spans="1:15" x14ac:dyDescent="0.25">
      <c r="A165">
        <v>1</v>
      </c>
      <c r="B165">
        <v>0</v>
      </c>
      <c r="C165">
        <v>0</v>
      </c>
      <c r="D165">
        <v>1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2</v>
      </c>
      <c r="K165">
        <v>13.81</v>
      </c>
      <c r="L165">
        <v>2</v>
      </c>
      <c r="M165">
        <f t="shared" si="6"/>
        <v>2.4027452410767909</v>
      </c>
      <c r="N165">
        <f t="shared" si="7"/>
        <v>-0.40274524107679088</v>
      </c>
      <c r="O165">
        <f t="shared" si="8"/>
        <v>0.1622037292100024</v>
      </c>
    </row>
    <row r="166" spans="1:15" x14ac:dyDescent="0.25">
      <c r="A166">
        <v>0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1</v>
      </c>
      <c r="H166">
        <v>1</v>
      </c>
      <c r="I166">
        <v>0</v>
      </c>
      <c r="J166">
        <v>2</v>
      </c>
      <c r="K166">
        <v>17.510000000000002</v>
      </c>
      <c r="L166">
        <v>3</v>
      </c>
      <c r="M166">
        <f t="shared" si="6"/>
        <v>2.6983797834021583</v>
      </c>
      <c r="N166">
        <f t="shared" si="7"/>
        <v>0.30162021659784166</v>
      </c>
      <c r="O166">
        <f t="shared" si="8"/>
        <v>9.097475506052892E-2</v>
      </c>
    </row>
    <row r="167" spans="1:15" x14ac:dyDescent="0.25">
      <c r="A167">
        <v>1</v>
      </c>
      <c r="B167">
        <v>0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3</v>
      </c>
      <c r="K167">
        <v>24.52</v>
      </c>
      <c r="L167">
        <v>3.48</v>
      </c>
      <c r="M167">
        <f t="shared" si="6"/>
        <v>3.5906930779696991</v>
      </c>
      <c r="N167">
        <f t="shared" si="7"/>
        <v>-0.11069307796969907</v>
      </c>
      <c r="O167">
        <f t="shared" si="8"/>
        <v>1.2252957510405877E-2</v>
      </c>
    </row>
    <row r="168" spans="1:15" x14ac:dyDescent="0.25">
      <c r="A168">
        <v>1</v>
      </c>
      <c r="B168">
        <v>0</v>
      </c>
      <c r="C168">
        <v>0</v>
      </c>
      <c r="D168">
        <v>1</v>
      </c>
      <c r="E168">
        <v>0</v>
      </c>
      <c r="F168">
        <v>0</v>
      </c>
      <c r="G168">
        <v>1</v>
      </c>
      <c r="H168">
        <v>1</v>
      </c>
      <c r="I168">
        <v>0</v>
      </c>
      <c r="J168">
        <v>2</v>
      </c>
      <c r="K168">
        <v>20.76</v>
      </c>
      <c r="L168">
        <v>2.2400000000000002</v>
      </c>
      <c r="M168">
        <f t="shared" si="6"/>
        <v>3.0594299326985297</v>
      </c>
      <c r="N168">
        <f t="shared" si="7"/>
        <v>-0.81942993269852948</v>
      </c>
      <c r="O168">
        <f t="shared" si="8"/>
        <v>0.67146541460231657</v>
      </c>
    </row>
    <row r="169" spans="1:15" x14ac:dyDescent="0.25">
      <c r="A169">
        <v>1</v>
      </c>
      <c r="B169">
        <v>0</v>
      </c>
      <c r="C169">
        <v>0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4</v>
      </c>
      <c r="K169">
        <v>31.71</v>
      </c>
      <c r="L169">
        <v>4.5</v>
      </c>
      <c r="M169">
        <f t="shared" si="6"/>
        <v>4.4460466537822443</v>
      </c>
      <c r="N169">
        <f t="shared" si="7"/>
        <v>5.3953346217755715E-2</v>
      </c>
      <c r="O169">
        <f t="shared" si="8"/>
        <v>2.9109635680930148E-3</v>
      </c>
    </row>
    <row r="170" spans="1:15" x14ac:dyDescent="0.25">
      <c r="A170">
        <v>0</v>
      </c>
      <c r="B170">
        <v>1</v>
      </c>
      <c r="C170">
        <v>1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</v>
      </c>
      <c r="J170">
        <v>2</v>
      </c>
      <c r="K170">
        <v>10.59</v>
      </c>
      <c r="L170">
        <v>1.61</v>
      </c>
      <c r="M170">
        <f t="shared" si="6"/>
        <v>1.9485519853501378</v>
      </c>
      <c r="N170">
        <f t="shared" si="7"/>
        <v>-0.33855198535013775</v>
      </c>
      <c r="O170">
        <f t="shared" si="8"/>
        <v>0.11461744678451989</v>
      </c>
    </row>
    <row r="171" spans="1:15" x14ac:dyDescent="0.25">
      <c r="A171">
        <v>0</v>
      </c>
      <c r="B171">
        <v>1</v>
      </c>
      <c r="C171">
        <v>1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</v>
      </c>
      <c r="J171">
        <v>2</v>
      </c>
      <c r="K171">
        <v>10.63</v>
      </c>
      <c r="L171">
        <v>2</v>
      </c>
      <c r="M171">
        <f t="shared" si="6"/>
        <v>1.9523314655896875</v>
      </c>
      <c r="N171">
        <f t="shared" si="7"/>
        <v>4.7668534410312491E-2</v>
      </c>
      <c r="O171">
        <f t="shared" si="8"/>
        <v>2.2722891728271461E-3</v>
      </c>
    </row>
    <row r="172" spans="1:15" x14ac:dyDescent="0.25">
      <c r="A172">
        <v>1</v>
      </c>
      <c r="B172">
        <v>0</v>
      </c>
      <c r="C172">
        <v>1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</v>
      </c>
      <c r="J172">
        <v>3</v>
      </c>
      <c r="K172">
        <v>50.81</v>
      </c>
      <c r="L172">
        <v>10</v>
      </c>
      <c r="M172">
        <f t="shared" si="6"/>
        <v>5.9248113689707447</v>
      </c>
      <c r="N172">
        <f t="shared" si="7"/>
        <v>4.0751886310292553</v>
      </c>
      <c r="O172">
        <f t="shared" si="8"/>
        <v>16.607162378470097</v>
      </c>
    </row>
    <row r="173" spans="1:15" x14ac:dyDescent="0.25">
      <c r="A173">
        <v>1</v>
      </c>
      <c r="B173">
        <v>0</v>
      </c>
      <c r="C173">
        <v>1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</v>
      </c>
      <c r="J173">
        <v>2</v>
      </c>
      <c r="K173">
        <v>15.81</v>
      </c>
      <c r="L173">
        <v>3.16</v>
      </c>
      <c r="M173">
        <f t="shared" si="6"/>
        <v>2.4417741566113573</v>
      </c>
      <c r="N173">
        <f t="shared" si="7"/>
        <v>0.71822584338864282</v>
      </c>
      <c r="O173">
        <f t="shared" si="8"/>
        <v>0.51584836211132723</v>
      </c>
    </row>
    <row r="174" spans="1:15" x14ac:dyDescent="0.25">
      <c r="A174">
        <v>1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1</v>
      </c>
      <c r="H174">
        <v>1</v>
      </c>
      <c r="I174">
        <v>0</v>
      </c>
      <c r="J174">
        <v>2</v>
      </c>
      <c r="K174">
        <v>7.25</v>
      </c>
      <c r="L174">
        <v>5.15</v>
      </c>
      <c r="M174">
        <f t="shared" si="6"/>
        <v>1.7289431019576924</v>
      </c>
      <c r="N174">
        <f t="shared" si="7"/>
        <v>3.4210568980423082</v>
      </c>
      <c r="O174">
        <f t="shared" si="8"/>
        <v>11.70363029964286</v>
      </c>
    </row>
    <row r="175" spans="1:15" x14ac:dyDescent="0.25">
      <c r="A175">
        <v>1</v>
      </c>
      <c r="B175">
        <v>0</v>
      </c>
      <c r="C175">
        <v>1</v>
      </c>
      <c r="D175">
        <v>0</v>
      </c>
      <c r="E175">
        <v>0</v>
      </c>
      <c r="F175">
        <v>0</v>
      </c>
      <c r="G175">
        <v>1</v>
      </c>
      <c r="H175">
        <v>1</v>
      </c>
      <c r="I175">
        <v>0</v>
      </c>
      <c r="J175">
        <v>2</v>
      </c>
      <c r="K175">
        <v>31.85</v>
      </c>
      <c r="L175">
        <v>3.18</v>
      </c>
      <c r="M175">
        <f t="shared" si="6"/>
        <v>4.0533234492806809</v>
      </c>
      <c r="N175">
        <f t="shared" si="7"/>
        <v>-0.87332344928068073</v>
      </c>
      <c r="O175">
        <f t="shared" si="8"/>
        <v>0.76269384706350574</v>
      </c>
    </row>
    <row r="176" spans="1:15" x14ac:dyDescent="0.25">
      <c r="A176">
        <v>1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2</v>
      </c>
      <c r="K176">
        <v>16.82</v>
      </c>
      <c r="L176">
        <v>4</v>
      </c>
      <c r="M176">
        <f t="shared" si="6"/>
        <v>2.6331837492699277</v>
      </c>
      <c r="N176">
        <f t="shared" si="7"/>
        <v>1.3668162507300723</v>
      </c>
      <c r="O176">
        <f t="shared" si="8"/>
        <v>1.8681866632598119</v>
      </c>
    </row>
    <row r="177" spans="1:15" x14ac:dyDescent="0.25">
      <c r="A177">
        <v>1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1</v>
      </c>
      <c r="H177">
        <v>1</v>
      </c>
      <c r="I177">
        <v>0</v>
      </c>
      <c r="J177">
        <v>2</v>
      </c>
      <c r="K177">
        <v>32.9</v>
      </c>
      <c r="L177">
        <v>3.11</v>
      </c>
      <c r="M177">
        <f t="shared" si="6"/>
        <v>4.1525348055688571</v>
      </c>
      <c r="N177">
        <f t="shared" si="7"/>
        <v>-1.0425348055688572</v>
      </c>
      <c r="O177">
        <f t="shared" si="8"/>
        <v>1.0868788208224951</v>
      </c>
    </row>
    <row r="178" spans="1:15" x14ac:dyDescent="0.25">
      <c r="A178">
        <v>1</v>
      </c>
      <c r="B178">
        <v>0</v>
      </c>
      <c r="C178">
        <v>1</v>
      </c>
      <c r="D178">
        <v>0</v>
      </c>
      <c r="E178">
        <v>0</v>
      </c>
      <c r="F178">
        <v>0</v>
      </c>
      <c r="G178">
        <v>1</v>
      </c>
      <c r="H178">
        <v>1</v>
      </c>
      <c r="I178">
        <v>0</v>
      </c>
      <c r="J178">
        <v>2</v>
      </c>
      <c r="K178">
        <v>17.89</v>
      </c>
      <c r="L178">
        <v>2</v>
      </c>
      <c r="M178">
        <f t="shared" si="6"/>
        <v>2.7342848456778794</v>
      </c>
      <c r="N178">
        <f t="shared" si="7"/>
        <v>-0.73428484567787944</v>
      </c>
      <c r="O178">
        <f t="shared" si="8"/>
        <v>0.53917423459218727</v>
      </c>
    </row>
    <row r="179" spans="1:15" x14ac:dyDescent="0.25">
      <c r="A179">
        <v>1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1</v>
      </c>
      <c r="H179">
        <v>1</v>
      </c>
      <c r="I179">
        <v>0</v>
      </c>
      <c r="J179">
        <v>2</v>
      </c>
      <c r="K179">
        <v>14.48</v>
      </c>
      <c r="L179">
        <v>2</v>
      </c>
      <c r="M179">
        <f t="shared" si="6"/>
        <v>2.4120841552562782</v>
      </c>
      <c r="N179">
        <f t="shared" si="7"/>
        <v>-0.41208415525627817</v>
      </c>
      <c r="O179">
        <f t="shared" si="8"/>
        <v>0.16981335101328038</v>
      </c>
    </row>
    <row r="180" spans="1:15" x14ac:dyDescent="0.25">
      <c r="A180">
        <v>0</v>
      </c>
      <c r="B180">
        <v>1</v>
      </c>
      <c r="C180">
        <v>1</v>
      </c>
      <c r="D180">
        <v>0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2</v>
      </c>
      <c r="K180">
        <v>9.6</v>
      </c>
      <c r="L180">
        <v>4</v>
      </c>
      <c r="M180">
        <f t="shared" si="6"/>
        <v>1.9509875660312299</v>
      </c>
      <c r="N180">
        <f t="shared" si="7"/>
        <v>2.0490124339687701</v>
      </c>
      <c r="O180">
        <f t="shared" si="8"/>
        <v>4.1984519545586236</v>
      </c>
    </row>
    <row r="181" spans="1:15" x14ac:dyDescent="0.25">
      <c r="A181">
        <v>1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2</v>
      </c>
      <c r="K181">
        <v>34.630000000000003</v>
      </c>
      <c r="L181">
        <v>3.55</v>
      </c>
      <c r="M181">
        <f t="shared" si="6"/>
        <v>4.3159973259293762</v>
      </c>
      <c r="N181">
        <f t="shared" si="7"/>
        <v>-0.76599732592937642</v>
      </c>
      <c r="O181">
        <f t="shared" si="8"/>
        <v>0.58675190333095528</v>
      </c>
    </row>
    <row r="182" spans="1:15" x14ac:dyDescent="0.25">
      <c r="A182">
        <v>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1</v>
      </c>
      <c r="H182">
        <v>1</v>
      </c>
      <c r="I182">
        <v>0</v>
      </c>
      <c r="J182">
        <v>4</v>
      </c>
      <c r="K182">
        <v>34.65</v>
      </c>
      <c r="L182">
        <v>3.68</v>
      </c>
      <c r="M182">
        <f t="shared" si="6"/>
        <v>4.6698710715561695</v>
      </c>
      <c r="N182">
        <f t="shared" si="7"/>
        <v>-0.98987107155616938</v>
      </c>
      <c r="O182">
        <f t="shared" si="8"/>
        <v>0.97984473830375896</v>
      </c>
    </row>
    <row r="183" spans="1:15" x14ac:dyDescent="0.25">
      <c r="A183">
        <v>1</v>
      </c>
      <c r="B183">
        <v>0</v>
      </c>
      <c r="C183">
        <v>1</v>
      </c>
      <c r="D183">
        <v>0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2</v>
      </c>
      <c r="K183">
        <v>23.33</v>
      </c>
      <c r="L183">
        <v>5.65</v>
      </c>
      <c r="M183">
        <f t="shared" si="6"/>
        <v>3.2482941582566216</v>
      </c>
      <c r="N183">
        <f t="shared" si="7"/>
        <v>2.4017058417433788</v>
      </c>
      <c r="O183">
        <f t="shared" si="8"/>
        <v>5.7681909502642714</v>
      </c>
    </row>
    <row r="184" spans="1:15" x14ac:dyDescent="0.25">
      <c r="A184">
        <v>1</v>
      </c>
      <c r="B184">
        <v>0</v>
      </c>
      <c r="C184">
        <v>1</v>
      </c>
      <c r="D184">
        <v>0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3</v>
      </c>
      <c r="K184">
        <v>45.35</v>
      </c>
      <c r="L184">
        <v>3.5</v>
      </c>
      <c r="M184">
        <f t="shared" si="6"/>
        <v>5.5048900328821704</v>
      </c>
      <c r="N184">
        <f t="shared" si="7"/>
        <v>-2.0048900328821704</v>
      </c>
      <c r="O184">
        <f t="shared" si="8"/>
        <v>4.0195840439502701</v>
      </c>
    </row>
    <row r="185" spans="1:15" x14ac:dyDescent="0.25">
      <c r="A185">
        <v>1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1</v>
      </c>
      <c r="H185">
        <v>1</v>
      </c>
      <c r="I185">
        <v>0</v>
      </c>
      <c r="J185">
        <v>4</v>
      </c>
      <c r="K185">
        <v>23.17</v>
      </c>
      <c r="L185">
        <v>6.5</v>
      </c>
      <c r="M185">
        <f t="shared" si="6"/>
        <v>3.5851602428054417</v>
      </c>
      <c r="N185">
        <f t="shared" si="7"/>
        <v>2.9148397571945583</v>
      </c>
      <c r="O185">
        <f t="shared" si="8"/>
        <v>8.4962908101220318</v>
      </c>
    </row>
    <row r="186" spans="1:15" x14ac:dyDescent="0.25">
      <c r="A186">
        <v>1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2</v>
      </c>
      <c r="K186">
        <v>40.549999999999997</v>
      </c>
      <c r="L186">
        <v>3</v>
      </c>
      <c r="M186">
        <f t="shared" si="6"/>
        <v>4.8753604013827125</v>
      </c>
      <c r="N186">
        <f t="shared" si="7"/>
        <v>-1.8753604013827125</v>
      </c>
      <c r="O186">
        <f t="shared" si="8"/>
        <v>3.5169766350743288</v>
      </c>
    </row>
    <row r="187" spans="1:15" x14ac:dyDescent="0.25">
      <c r="A187">
        <v>1</v>
      </c>
      <c r="B187">
        <v>0</v>
      </c>
      <c r="C187">
        <v>0</v>
      </c>
      <c r="D187">
        <v>1</v>
      </c>
      <c r="E187">
        <v>0</v>
      </c>
      <c r="F187">
        <v>0</v>
      </c>
      <c r="G187">
        <v>1</v>
      </c>
      <c r="H187">
        <v>1</v>
      </c>
      <c r="I187">
        <v>0</v>
      </c>
      <c r="J187">
        <v>5</v>
      </c>
      <c r="K187">
        <v>20.69</v>
      </c>
      <c r="L187">
        <v>5</v>
      </c>
      <c r="M187">
        <f t="shared" si="6"/>
        <v>3.5807918505398462</v>
      </c>
      <c r="N187">
        <f t="shared" si="7"/>
        <v>1.4192081494601538</v>
      </c>
      <c r="O187">
        <f t="shared" si="8"/>
        <v>2.0141517714941144</v>
      </c>
    </row>
    <row r="188" spans="1:15" x14ac:dyDescent="0.25">
      <c r="A188">
        <v>0</v>
      </c>
      <c r="B188">
        <v>1</v>
      </c>
      <c r="C188">
        <v>1</v>
      </c>
      <c r="D188">
        <v>0</v>
      </c>
      <c r="E188">
        <v>0</v>
      </c>
      <c r="F188">
        <v>0</v>
      </c>
      <c r="G188">
        <v>1</v>
      </c>
      <c r="H188">
        <v>1</v>
      </c>
      <c r="I188">
        <v>0</v>
      </c>
      <c r="J188">
        <v>3</v>
      </c>
      <c r="K188">
        <v>20.9</v>
      </c>
      <c r="L188">
        <v>3.5</v>
      </c>
      <c r="M188">
        <f t="shared" si="6"/>
        <v>3.1946827364574935</v>
      </c>
      <c r="N188">
        <f t="shared" si="7"/>
        <v>0.30531726354250655</v>
      </c>
      <c r="O188">
        <f t="shared" si="8"/>
        <v>9.3218631417084391E-2</v>
      </c>
    </row>
    <row r="189" spans="1:15" x14ac:dyDescent="0.25">
      <c r="A189">
        <v>1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5</v>
      </c>
      <c r="K189">
        <v>30.46</v>
      </c>
      <c r="L189">
        <v>2</v>
      </c>
      <c r="M189">
        <f t="shared" si="6"/>
        <v>4.4499625192168608</v>
      </c>
      <c r="N189">
        <f t="shared" si="7"/>
        <v>-2.4499625192168608</v>
      </c>
      <c r="O189">
        <f t="shared" si="8"/>
        <v>6.0023163455674267</v>
      </c>
    </row>
    <row r="190" spans="1:15" x14ac:dyDescent="0.25">
      <c r="A190">
        <v>0</v>
      </c>
      <c r="B190">
        <v>1</v>
      </c>
      <c r="C190">
        <v>1</v>
      </c>
      <c r="D190">
        <v>0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3</v>
      </c>
      <c r="K190">
        <v>18.149999999999999</v>
      </c>
      <c r="L190">
        <v>3.5</v>
      </c>
      <c r="M190">
        <f t="shared" si="6"/>
        <v>2.9348434699884605</v>
      </c>
      <c r="N190">
        <f t="shared" si="7"/>
        <v>0.56515653001153954</v>
      </c>
      <c r="O190">
        <f t="shared" si="8"/>
        <v>0.31940190341468416</v>
      </c>
    </row>
    <row r="191" spans="1:15" x14ac:dyDescent="0.25">
      <c r="A191">
        <v>1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1</v>
      </c>
      <c r="H191">
        <v>1</v>
      </c>
      <c r="I191">
        <v>0</v>
      </c>
      <c r="J191">
        <v>3</v>
      </c>
      <c r="K191">
        <v>23.1</v>
      </c>
      <c r="L191">
        <v>4</v>
      </c>
      <c r="M191">
        <f t="shared" si="6"/>
        <v>3.4025541496327207</v>
      </c>
      <c r="N191">
        <f t="shared" si="7"/>
        <v>0.59744585036727926</v>
      </c>
      <c r="O191">
        <f t="shared" si="8"/>
        <v>0.35694154412108142</v>
      </c>
    </row>
    <row r="192" spans="1:15" x14ac:dyDescent="0.25">
      <c r="A192">
        <v>1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2</v>
      </c>
      <c r="K192">
        <v>15.69</v>
      </c>
      <c r="L192">
        <v>1.5</v>
      </c>
      <c r="M192">
        <f t="shared" si="6"/>
        <v>2.5264134325026526</v>
      </c>
      <c r="N192">
        <f t="shared" si="7"/>
        <v>-1.0264134325026526</v>
      </c>
      <c r="O192">
        <f t="shared" si="8"/>
        <v>1.0535245344218773</v>
      </c>
    </row>
    <row r="193" spans="1:15" x14ac:dyDescent="0.25">
      <c r="A193">
        <v>0</v>
      </c>
      <c r="B193">
        <v>1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2</v>
      </c>
      <c r="K193">
        <v>19.809999999999999</v>
      </c>
      <c r="L193">
        <v>4.1900000000000004</v>
      </c>
      <c r="M193">
        <f t="shared" si="6"/>
        <v>2.8470499604255162</v>
      </c>
      <c r="N193">
        <f t="shared" si="7"/>
        <v>1.3429500395744842</v>
      </c>
      <c r="O193">
        <f t="shared" si="8"/>
        <v>1.8035148087931088</v>
      </c>
    </row>
    <row r="194" spans="1:15" x14ac:dyDescent="0.25">
      <c r="A194">
        <v>1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2</v>
      </c>
      <c r="K194">
        <v>28.44</v>
      </c>
      <c r="L194">
        <v>2.56</v>
      </c>
      <c r="M194">
        <f t="shared" si="6"/>
        <v>3.6624728221083371</v>
      </c>
      <c r="N194">
        <f t="shared" si="7"/>
        <v>-1.1024728221083371</v>
      </c>
      <c r="O194">
        <f t="shared" si="8"/>
        <v>1.215446323487521</v>
      </c>
    </row>
    <row r="195" spans="1:15" x14ac:dyDescent="0.25">
      <c r="A195">
        <v>1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2</v>
      </c>
      <c r="K195">
        <v>15.48</v>
      </c>
      <c r="L195">
        <v>2.02</v>
      </c>
      <c r="M195">
        <f t="shared" ref="M195:M245" si="9">A195*$R$30+B195*$R$32+C195*$R$31+D195*$R$33+E195*$R$34+F195*$R$35+G195*$R$36+H195*$R$37+I195*$R$38+J195*$R$39+K195*$R$40+$R$29</f>
        <v>2.4379212244942754</v>
      </c>
      <c r="N195">
        <f t="shared" ref="N195:N245" si="10">L195-M195</f>
        <v>-0.41792122449427538</v>
      </c>
      <c r="O195">
        <f t="shared" ref="O195:O245" si="11">N195^2</f>
        <v>0.17465814988279452</v>
      </c>
    </row>
    <row r="196" spans="1:15" x14ac:dyDescent="0.25">
      <c r="A196">
        <v>1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</v>
      </c>
      <c r="J196">
        <v>2</v>
      </c>
      <c r="K196">
        <v>16.579999999999998</v>
      </c>
      <c r="L196">
        <v>4</v>
      </c>
      <c r="M196">
        <f t="shared" si="9"/>
        <v>2.5418569310818886</v>
      </c>
      <c r="N196">
        <f t="shared" si="10"/>
        <v>1.4581430689181114</v>
      </c>
      <c r="O196">
        <f t="shared" si="11"/>
        <v>2.1261812094339283</v>
      </c>
    </row>
    <row r="197" spans="1:15" x14ac:dyDescent="0.25">
      <c r="A197">
        <v>1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2</v>
      </c>
      <c r="K197">
        <v>7.56</v>
      </c>
      <c r="L197">
        <v>1.44</v>
      </c>
      <c r="M197">
        <f t="shared" si="9"/>
        <v>1.7435515168964277</v>
      </c>
      <c r="N197">
        <f t="shared" si="10"/>
        <v>-0.30355151689642779</v>
      </c>
      <c r="O197">
        <f t="shared" si="11"/>
        <v>9.2143523410122288E-2</v>
      </c>
    </row>
    <row r="198" spans="1:15" x14ac:dyDescent="0.25">
      <c r="A198">
        <v>1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2</v>
      </c>
      <c r="K198">
        <v>10.34</v>
      </c>
      <c r="L198">
        <v>2</v>
      </c>
      <c r="M198">
        <f t="shared" si="9"/>
        <v>1.9522580137121552</v>
      </c>
      <c r="N198">
        <f t="shared" si="10"/>
        <v>4.7741986287844762E-2</v>
      </c>
      <c r="O198">
        <f t="shared" si="11"/>
        <v>2.2792972547087571E-3</v>
      </c>
    </row>
    <row r="199" spans="1:15" x14ac:dyDescent="0.25">
      <c r="A199">
        <v>0</v>
      </c>
      <c r="B199">
        <v>1</v>
      </c>
      <c r="C199">
        <v>1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4</v>
      </c>
      <c r="K199">
        <v>43.11</v>
      </c>
      <c r="L199">
        <v>5</v>
      </c>
      <c r="M199">
        <f t="shared" si="9"/>
        <v>5.4005812054701625</v>
      </c>
      <c r="N199">
        <f t="shared" si="10"/>
        <v>-0.40058120547016252</v>
      </c>
      <c r="O199">
        <f t="shared" si="11"/>
        <v>0.16046530217592855</v>
      </c>
    </row>
    <row r="200" spans="1:15" x14ac:dyDescent="0.25">
      <c r="A200">
        <v>0</v>
      </c>
      <c r="B200">
        <v>1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2</v>
      </c>
      <c r="K200">
        <v>13</v>
      </c>
      <c r="L200">
        <v>2</v>
      </c>
      <c r="M200">
        <f t="shared" si="9"/>
        <v>2.2035934496422018</v>
      </c>
      <c r="N200">
        <f t="shared" si="10"/>
        <v>-0.20359344964220183</v>
      </c>
      <c r="O200">
        <f t="shared" si="11"/>
        <v>4.145029273721177E-2</v>
      </c>
    </row>
    <row r="201" spans="1:15" x14ac:dyDescent="0.25">
      <c r="A201">
        <v>1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2</v>
      </c>
      <c r="K201">
        <v>13.51</v>
      </c>
      <c r="L201">
        <v>2</v>
      </c>
      <c r="M201">
        <f t="shared" si="9"/>
        <v>2.2517818226964588</v>
      </c>
      <c r="N201">
        <f t="shared" si="10"/>
        <v>-0.25178182269645877</v>
      </c>
      <c r="O201">
        <f t="shared" si="11"/>
        <v>6.3394086240351005E-2</v>
      </c>
    </row>
    <row r="202" spans="1:15" x14ac:dyDescent="0.25">
      <c r="A202">
        <v>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</v>
      </c>
      <c r="J202">
        <v>3</v>
      </c>
      <c r="K202">
        <v>18.71</v>
      </c>
      <c r="L202">
        <v>4</v>
      </c>
      <c r="M202">
        <f t="shared" si="9"/>
        <v>2.9191062565914132</v>
      </c>
      <c r="N202">
        <f t="shared" si="10"/>
        <v>1.0808937434085868</v>
      </c>
      <c r="O202">
        <f t="shared" si="11"/>
        <v>1.1683312845398279</v>
      </c>
    </row>
    <row r="203" spans="1:15" x14ac:dyDescent="0.25">
      <c r="A203">
        <v>0</v>
      </c>
      <c r="B203">
        <v>1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2</v>
      </c>
      <c r="K203">
        <v>12.74</v>
      </c>
      <c r="L203">
        <v>2.0099999999999998</v>
      </c>
      <c r="M203">
        <f t="shared" si="9"/>
        <v>2.1790268280851297</v>
      </c>
      <c r="N203">
        <f t="shared" si="10"/>
        <v>-0.16902682808512992</v>
      </c>
      <c r="O203">
        <f t="shared" si="11"/>
        <v>2.8570068612520066E-2</v>
      </c>
    </row>
    <row r="204" spans="1:15" x14ac:dyDescent="0.25">
      <c r="A204">
        <v>0</v>
      </c>
      <c r="B204">
        <v>1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2</v>
      </c>
      <c r="K204">
        <v>13</v>
      </c>
      <c r="L204">
        <v>2</v>
      </c>
      <c r="M204">
        <f t="shared" si="9"/>
        <v>2.2035934496422018</v>
      </c>
      <c r="N204">
        <f t="shared" si="10"/>
        <v>-0.20359344964220183</v>
      </c>
      <c r="O204">
        <f t="shared" si="11"/>
        <v>4.145029273721177E-2</v>
      </c>
    </row>
    <row r="205" spans="1:15" x14ac:dyDescent="0.25">
      <c r="A205">
        <v>0</v>
      </c>
      <c r="B205">
        <v>1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2</v>
      </c>
      <c r="K205">
        <v>16.399999999999999</v>
      </c>
      <c r="L205">
        <v>2.5</v>
      </c>
      <c r="M205">
        <f t="shared" si="9"/>
        <v>2.5248492700039158</v>
      </c>
      <c r="N205">
        <f t="shared" si="10"/>
        <v>-2.4849270003915791E-2</v>
      </c>
      <c r="O205">
        <f t="shared" si="11"/>
        <v>6.1748621972750907E-4</v>
      </c>
    </row>
    <row r="206" spans="1:15" x14ac:dyDescent="0.25">
      <c r="A206">
        <v>1</v>
      </c>
      <c r="B206">
        <v>0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4</v>
      </c>
      <c r="K206">
        <v>20.53</v>
      </c>
      <c r="L206">
        <v>4</v>
      </c>
      <c r="M206">
        <f t="shared" si="9"/>
        <v>3.2670646102444278</v>
      </c>
      <c r="N206">
        <f t="shared" si="10"/>
        <v>0.73293538975557215</v>
      </c>
      <c r="O206">
        <f t="shared" si="11"/>
        <v>0.53719428555615245</v>
      </c>
    </row>
    <row r="207" spans="1:15" x14ac:dyDescent="0.25">
      <c r="A207">
        <v>0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3</v>
      </c>
      <c r="K207">
        <v>16.47</v>
      </c>
      <c r="L207">
        <v>3.23</v>
      </c>
      <c r="M207">
        <f t="shared" si="9"/>
        <v>2.7074553631766367</v>
      </c>
      <c r="N207">
        <f t="shared" si="10"/>
        <v>0.52254463682336327</v>
      </c>
      <c r="O207">
        <f t="shared" si="11"/>
        <v>0.2730528974728606</v>
      </c>
    </row>
    <row r="208" spans="1:15" x14ac:dyDescent="0.25">
      <c r="A208">
        <v>1</v>
      </c>
      <c r="B208">
        <v>0</v>
      </c>
      <c r="C208">
        <v>1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</v>
      </c>
      <c r="J208">
        <v>3</v>
      </c>
      <c r="K208">
        <v>26.59</v>
      </c>
      <c r="L208">
        <v>3.41</v>
      </c>
      <c r="M208">
        <f t="shared" si="9"/>
        <v>3.6363360839234771</v>
      </c>
      <c r="N208">
        <f t="shared" si="10"/>
        <v>-0.22633608392347693</v>
      </c>
      <c r="O208">
        <f t="shared" si="11"/>
        <v>5.122802288581519E-2</v>
      </c>
    </row>
    <row r="209" spans="1:15" x14ac:dyDescent="0.25">
      <c r="A209">
        <v>1</v>
      </c>
      <c r="B209">
        <v>0</v>
      </c>
      <c r="C209">
        <v>1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</v>
      </c>
      <c r="J209">
        <v>4</v>
      </c>
      <c r="K209">
        <v>38.729999999999997</v>
      </c>
      <c r="L209">
        <v>3</v>
      </c>
      <c r="M209">
        <f t="shared" si="9"/>
        <v>4.9594003393802817</v>
      </c>
      <c r="N209">
        <f t="shared" si="10"/>
        <v>-1.9594003393802817</v>
      </c>
      <c r="O209">
        <f t="shared" si="11"/>
        <v>3.8392496899635629</v>
      </c>
    </row>
    <row r="210" spans="1:15" x14ac:dyDescent="0.25">
      <c r="A210">
        <v>1</v>
      </c>
      <c r="B210">
        <v>0</v>
      </c>
      <c r="C210">
        <v>1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0</v>
      </c>
      <c r="J210">
        <v>2</v>
      </c>
      <c r="K210">
        <v>24.27</v>
      </c>
      <c r="L210">
        <v>2.0299999999999998</v>
      </c>
      <c r="M210">
        <f t="shared" si="9"/>
        <v>3.2411342272760919</v>
      </c>
      <c r="N210">
        <f t="shared" si="10"/>
        <v>-1.2111342272760921</v>
      </c>
      <c r="O210">
        <f t="shared" si="11"/>
        <v>1.4668461164796567</v>
      </c>
    </row>
    <row r="211" spans="1:15" x14ac:dyDescent="0.25">
      <c r="A211">
        <v>0</v>
      </c>
      <c r="B211">
        <v>1</v>
      </c>
      <c r="C211">
        <v>1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</v>
      </c>
      <c r="J211">
        <v>2</v>
      </c>
      <c r="K211">
        <v>12.76</v>
      </c>
      <c r="L211">
        <v>2.23</v>
      </c>
      <c r="M211">
        <f t="shared" si="9"/>
        <v>2.1535887883457017</v>
      </c>
      <c r="N211">
        <f t="shared" si="10"/>
        <v>7.6411211654298317E-2</v>
      </c>
      <c r="O211">
        <f t="shared" si="11"/>
        <v>5.8386732664779751E-3</v>
      </c>
    </row>
    <row r="212" spans="1:15" x14ac:dyDescent="0.25">
      <c r="A212">
        <v>1</v>
      </c>
      <c r="B212">
        <v>0</v>
      </c>
      <c r="C212">
        <v>1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3</v>
      </c>
      <c r="K212">
        <v>30.06</v>
      </c>
      <c r="L212">
        <v>2</v>
      </c>
      <c r="M212">
        <f t="shared" si="9"/>
        <v>3.9642059947044022</v>
      </c>
      <c r="N212">
        <f t="shared" si="10"/>
        <v>-1.9642059947044022</v>
      </c>
      <c r="O212">
        <f t="shared" si="11"/>
        <v>3.8581051896327101</v>
      </c>
    </row>
    <row r="213" spans="1:15" x14ac:dyDescent="0.25">
      <c r="A213">
        <v>1</v>
      </c>
      <c r="B213">
        <v>0</v>
      </c>
      <c r="C213">
        <v>1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</v>
      </c>
      <c r="J213">
        <v>4</v>
      </c>
      <c r="K213">
        <v>25.89</v>
      </c>
      <c r="L213">
        <v>5.16</v>
      </c>
      <c r="M213">
        <f t="shared" si="9"/>
        <v>3.7461871824848689</v>
      </c>
      <c r="N213">
        <f t="shared" si="10"/>
        <v>1.4138128175151312</v>
      </c>
      <c r="O213">
        <f t="shared" si="11"/>
        <v>1.9988666829700736</v>
      </c>
    </row>
    <row r="214" spans="1:15" x14ac:dyDescent="0.25">
      <c r="A214">
        <v>1</v>
      </c>
      <c r="B214">
        <v>0</v>
      </c>
      <c r="C214">
        <v>0</v>
      </c>
      <c r="D214">
        <v>1</v>
      </c>
      <c r="E214">
        <v>0</v>
      </c>
      <c r="F214">
        <v>1</v>
      </c>
      <c r="G214">
        <v>0</v>
      </c>
      <c r="H214">
        <v>1</v>
      </c>
      <c r="I214">
        <v>0</v>
      </c>
      <c r="J214">
        <v>4</v>
      </c>
      <c r="K214">
        <v>48.33</v>
      </c>
      <c r="L214">
        <v>9</v>
      </c>
      <c r="M214">
        <f t="shared" si="9"/>
        <v>5.9204429767051474</v>
      </c>
      <c r="N214">
        <f t="shared" si="10"/>
        <v>3.0795570232948526</v>
      </c>
      <c r="O214">
        <f t="shared" si="11"/>
        <v>9.4836714597246541</v>
      </c>
    </row>
    <row r="215" spans="1:15" x14ac:dyDescent="0.25">
      <c r="A215">
        <v>0</v>
      </c>
      <c r="B215">
        <v>1</v>
      </c>
      <c r="C215">
        <v>1</v>
      </c>
      <c r="D215">
        <v>0</v>
      </c>
      <c r="E215">
        <v>0</v>
      </c>
      <c r="F215">
        <v>1</v>
      </c>
      <c r="G215">
        <v>0</v>
      </c>
      <c r="H215">
        <v>1</v>
      </c>
      <c r="I215">
        <v>0</v>
      </c>
      <c r="J215">
        <v>2</v>
      </c>
      <c r="K215">
        <v>13.27</v>
      </c>
      <c r="L215">
        <v>2.5</v>
      </c>
      <c r="M215">
        <f t="shared" si="9"/>
        <v>2.201777161399959</v>
      </c>
      <c r="N215">
        <f t="shared" si="10"/>
        <v>0.29822283860004095</v>
      </c>
      <c r="O215">
        <f t="shared" si="11"/>
        <v>8.8936861462666078E-2</v>
      </c>
    </row>
    <row r="216" spans="1:15" x14ac:dyDescent="0.25">
      <c r="A216">
        <v>0</v>
      </c>
      <c r="B216">
        <v>1</v>
      </c>
      <c r="C216">
        <v>1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</v>
      </c>
      <c r="J216">
        <v>3</v>
      </c>
      <c r="K216">
        <v>28.17</v>
      </c>
      <c r="L216">
        <v>6.5</v>
      </c>
      <c r="M216">
        <f t="shared" si="9"/>
        <v>3.7856255533856853</v>
      </c>
      <c r="N216">
        <f t="shared" si="10"/>
        <v>2.7143744466143147</v>
      </c>
      <c r="O216">
        <f t="shared" si="11"/>
        <v>7.3678286364327672</v>
      </c>
    </row>
    <row r="217" spans="1:15" x14ac:dyDescent="0.25">
      <c r="A217">
        <v>0</v>
      </c>
      <c r="B217">
        <v>1</v>
      </c>
      <c r="C217">
        <v>1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2</v>
      </c>
      <c r="K217">
        <v>12.9</v>
      </c>
      <c r="L217">
        <v>1.1000000000000001</v>
      </c>
      <c r="M217">
        <f t="shared" si="9"/>
        <v>2.1668169691841257</v>
      </c>
      <c r="N217">
        <f t="shared" si="10"/>
        <v>-1.0668169691841256</v>
      </c>
      <c r="O217">
        <f t="shared" si="11"/>
        <v>1.1380984457392036</v>
      </c>
    </row>
    <row r="218" spans="1:15" x14ac:dyDescent="0.25">
      <c r="A218">
        <v>1</v>
      </c>
      <c r="B218">
        <v>0</v>
      </c>
      <c r="C218">
        <v>1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</v>
      </c>
      <c r="J218">
        <v>5</v>
      </c>
      <c r="K218">
        <v>28.15</v>
      </c>
      <c r="L218">
        <v>3</v>
      </c>
      <c r="M218">
        <f t="shared" si="9"/>
        <v>4.1357198187729285</v>
      </c>
      <c r="N218">
        <f t="shared" si="10"/>
        <v>-1.1357198187729285</v>
      </c>
      <c r="O218">
        <f t="shared" si="11"/>
        <v>1.2898595067536136</v>
      </c>
    </row>
    <row r="219" spans="1:15" x14ac:dyDescent="0.25">
      <c r="A219">
        <v>1</v>
      </c>
      <c r="B219">
        <v>0</v>
      </c>
      <c r="C219">
        <v>1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</v>
      </c>
      <c r="J219">
        <v>2</v>
      </c>
      <c r="K219">
        <v>11.59</v>
      </c>
      <c r="L219">
        <v>1.5</v>
      </c>
      <c r="M219">
        <f t="shared" si="9"/>
        <v>2.0430389913388769</v>
      </c>
      <c r="N219">
        <f t="shared" si="10"/>
        <v>-0.5430389913388769</v>
      </c>
      <c r="O219">
        <f t="shared" si="11"/>
        <v>0.29489134611434481</v>
      </c>
    </row>
    <row r="220" spans="1:15" x14ac:dyDescent="0.25">
      <c r="A220">
        <v>1</v>
      </c>
      <c r="B220">
        <v>0</v>
      </c>
      <c r="C220">
        <v>1</v>
      </c>
      <c r="D220">
        <v>0</v>
      </c>
      <c r="E220">
        <v>0</v>
      </c>
      <c r="F220">
        <v>1</v>
      </c>
      <c r="G220">
        <v>0</v>
      </c>
      <c r="H220">
        <v>1</v>
      </c>
      <c r="I220">
        <v>0</v>
      </c>
      <c r="J220">
        <v>2</v>
      </c>
      <c r="K220">
        <v>7.74</v>
      </c>
      <c r="L220">
        <v>1.44</v>
      </c>
      <c r="M220">
        <f t="shared" si="9"/>
        <v>1.6792640182822305</v>
      </c>
      <c r="N220">
        <f t="shared" si="10"/>
        <v>-0.23926401828223054</v>
      </c>
      <c r="O220">
        <f t="shared" si="11"/>
        <v>5.7247270444559552E-2</v>
      </c>
    </row>
    <row r="221" spans="1:15" x14ac:dyDescent="0.25">
      <c r="A221">
        <v>0</v>
      </c>
      <c r="B221">
        <v>1</v>
      </c>
      <c r="C221">
        <v>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</v>
      </c>
      <c r="J221">
        <v>4</v>
      </c>
      <c r="K221">
        <v>30.14</v>
      </c>
      <c r="L221">
        <v>3.09</v>
      </c>
      <c r="M221">
        <f t="shared" si="9"/>
        <v>4.1477569579370108</v>
      </c>
      <c r="N221">
        <f t="shared" si="10"/>
        <v>-1.057756957937011</v>
      </c>
      <c r="O221">
        <f t="shared" si="11"/>
        <v>1.1188497820641596</v>
      </c>
    </row>
    <row r="222" spans="1:15" x14ac:dyDescent="0.25">
      <c r="A222">
        <v>1</v>
      </c>
      <c r="B222">
        <v>0</v>
      </c>
      <c r="C222">
        <v>1</v>
      </c>
      <c r="D222">
        <v>0</v>
      </c>
      <c r="E222">
        <v>1</v>
      </c>
      <c r="F222">
        <v>0</v>
      </c>
      <c r="G222">
        <v>0</v>
      </c>
      <c r="H222">
        <v>0</v>
      </c>
      <c r="I222">
        <v>1</v>
      </c>
      <c r="J222">
        <v>2</v>
      </c>
      <c r="K222">
        <v>12.16</v>
      </c>
      <c r="L222">
        <v>2.2000000000000002</v>
      </c>
      <c r="M222">
        <f t="shared" si="9"/>
        <v>2.2864835622057282</v>
      </c>
      <c r="N222">
        <f t="shared" si="10"/>
        <v>-8.648356220572806E-2</v>
      </c>
      <c r="O222">
        <f t="shared" si="11"/>
        <v>7.479406531792035E-3</v>
      </c>
    </row>
    <row r="223" spans="1:15" x14ac:dyDescent="0.25">
      <c r="A223">
        <v>0</v>
      </c>
      <c r="B223">
        <v>1</v>
      </c>
      <c r="C223">
        <v>1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2</v>
      </c>
      <c r="K223">
        <v>13.42</v>
      </c>
      <c r="L223">
        <v>3.48</v>
      </c>
      <c r="M223">
        <f t="shared" si="9"/>
        <v>2.4055371897515396</v>
      </c>
      <c r="N223">
        <f t="shared" si="10"/>
        <v>1.0744628102484604</v>
      </c>
      <c r="O223">
        <f t="shared" si="11"/>
        <v>1.154470330607019</v>
      </c>
    </row>
    <row r="224" spans="1:15" x14ac:dyDescent="0.25">
      <c r="A224">
        <v>1</v>
      </c>
      <c r="B224">
        <v>0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1</v>
      </c>
      <c r="K224">
        <v>8.58</v>
      </c>
      <c r="L224">
        <v>1.92</v>
      </c>
      <c r="M224">
        <f t="shared" si="9"/>
        <v>1.7722280780125319</v>
      </c>
      <c r="N224">
        <f t="shared" si="10"/>
        <v>0.14777192198746802</v>
      </c>
      <c r="O224">
        <f t="shared" si="11"/>
        <v>2.1836540927870334E-2</v>
      </c>
    </row>
    <row r="225" spans="1:15" x14ac:dyDescent="0.25">
      <c r="A225">
        <v>0</v>
      </c>
      <c r="B225">
        <v>1</v>
      </c>
      <c r="C225">
        <v>0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3</v>
      </c>
      <c r="K225">
        <v>15.98</v>
      </c>
      <c r="L225">
        <v>3</v>
      </c>
      <c r="M225">
        <f t="shared" si="9"/>
        <v>2.8773833076691897</v>
      </c>
      <c r="N225">
        <f t="shared" si="10"/>
        <v>0.1226166923308103</v>
      </c>
      <c r="O225">
        <f t="shared" si="11"/>
        <v>1.5034853238148592E-2</v>
      </c>
    </row>
    <row r="226" spans="1:15" x14ac:dyDescent="0.25">
      <c r="A226">
        <v>1</v>
      </c>
      <c r="B226">
        <v>0</v>
      </c>
      <c r="C226">
        <v>1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1</v>
      </c>
      <c r="J226">
        <v>2</v>
      </c>
      <c r="K226">
        <v>13.42</v>
      </c>
      <c r="L226">
        <v>1.58</v>
      </c>
      <c r="M226">
        <f t="shared" si="9"/>
        <v>2.4055371897515396</v>
      </c>
      <c r="N226">
        <f t="shared" si="10"/>
        <v>-0.82553718975153956</v>
      </c>
      <c r="O226">
        <f t="shared" si="11"/>
        <v>0.68151165166286942</v>
      </c>
    </row>
    <row r="227" spans="1:15" x14ac:dyDescent="0.25">
      <c r="A227">
        <v>0</v>
      </c>
      <c r="B227">
        <v>1</v>
      </c>
      <c r="C227">
        <v>1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1</v>
      </c>
      <c r="J227">
        <v>2</v>
      </c>
      <c r="K227">
        <v>16.27</v>
      </c>
      <c r="L227">
        <v>2.5</v>
      </c>
      <c r="M227">
        <f t="shared" si="9"/>
        <v>2.6748251568194465</v>
      </c>
      <c r="N227">
        <f t="shared" si="10"/>
        <v>-0.17482515681944655</v>
      </c>
      <c r="O227">
        <f t="shared" si="11"/>
        <v>3.0563835456944077E-2</v>
      </c>
    </row>
    <row r="228" spans="1:15" x14ac:dyDescent="0.25">
      <c r="A228">
        <v>0</v>
      </c>
      <c r="B228">
        <v>1</v>
      </c>
      <c r="C228">
        <v>1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2</v>
      </c>
      <c r="K228">
        <v>10.09</v>
      </c>
      <c r="L228">
        <v>2</v>
      </c>
      <c r="M228">
        <f t="shared" si="9"/>
        <v>2.0908954598090377</v>
      </c>
      <c r="N228">
        <f t="shared" si="10"/>
        <v>-9.0895459809037682E-2</v>
      </c>
      <c r="O228">
        <f t="shared" si="11"/>
        <v>8.2619846138963851E-3</v>
      </c>
    </row>
    <row r="229" spans="1:15" x14ac:dyDescent="0.25">
      <c r="A229">
        <v>1</v>
      </c>
      <c r="B229">
        <v>0</v>
      </c>
      <c r="C229">
        <v>0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</v>
      </c>
      <c r="J229">
        <v>4</v>
      </c>
      <c r="K229">
        <v>20.45</v>
      </c>
      <c r="L229">
        <v>3</v>
      </c>
      <c r="M229">
        <f t="shared" si="9"/>
        <v>3.2861452497390946</v>
      </c>
      <c r="N229">
        <f t="shared" si="10"/>
        <v>-0.28614524973909461</v>
      </c>
      <c r="O229">
        <f t="shared" si="11"/>
        <v>8.1879103948248821E-2</v>
      </c>
    </row>
    <row r="230" spans="1:15" x14ac:dyDescent="0.25">
      <c r="A230">
        <v>1</v>
      </c>
      <c r="B230">
        <v>0</v>
      </c>
      <c r="C230">
        <v>0</v>
      </c>
      <c r="D230">
        <v>1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2</v>
      </c>
      <c r="K230">
        <v>13.28</v>
      </c>
      <c r="L230">
        <v>2.72</v>
      </c>
      <c r="M230">
        <f t="shared" si="9"/>
        <v>2.2566894112928146</v>
      </c>
      <c r="N230">
        <f t="shared" si="10"/>
        <v>0.46331058870718556</v>
      </c>
      <c r="O230">
        <f t="shared" si="11"/>
        <v>0.21465670160819886</v>
      </c>
    </row>
    <row r="231" spans="1:15" x14ac:dyDescent="0.25">
      <c r="A231">
        <v>0</v>
      </c>
      <c r="B231">
        <v>1</v>
      </c>
      <c r="C231">
        <v>1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</v>
      </c>
      <c r="J231">
        <v>2</v>
      </c>
      <c r="K231">
        <v>22.12</v>
      </c>
      <c r="L231">
        <v>2.88</v>
      </c>
      <c r="M231">
        <f t="shared" si="9"/>
        <v>3.0379871644003025</v>
      </c>
      <c r="N231">
        <f t="shared" si="10"/>
        <v>-0.15798716440030258</v>
      </c>
      <c r="O231">
        <f t="shared" si="11"/>
        <v>2.4959944115248236E-2</v>
      </c>
    </row>
    <row r="232" spans="1:15" x14ac:dyDescent="0.25">
      <c r="A232">
        <v>1</v>
      </c>
      <c r="B232">
        <v>0</v>
      </c>
      <c r="C232">
        <v>1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</v>
      </c>
      <c r="J232">
        <v>4</v>
      </c>
      <c r="K232">
        <v>24.01</v>
      </c>
      <c r="L232">
        <v>2</v>
      </c>
      <c r="M232">
        <f t="shared" si="9"/>
        <v>3.5685516112260389</v>
      </c>
      <c r="N232">
        <f t="shared" si="10"/>
        <v>-1.5685516112260389</v>
      </c>
      <c r="O232">
        <f t="shared" si="11"/>
        <v>2.4603541570798027</v>
      </c>
    </row>
    <row r="233" spans="1:15" x14ac:dyDescent="0.25">
      <c r="A233">
        <v>1</v>
      </c>
      <c r="B233">
        <v>0</v>
      </c>
      <c r="C233">
        <v>1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</v>
      </c>
      <c r="J233">
        <v>3</v>
      </c>
      <c r="K233">
        <v>15.69</v>
      </c>
      <c r="L233">
        <v>3</v>
      </c>
      <c r="M233">
        <f t="shared" si="9"/>
        <v>2.6064277186462173</v>
      </c>
      <c r="N233">
        <f t="shared" si="10"/>
        <v>0.39357228135378275</v>
      </c>
      <c r="O233">
        <f t="shared" si="11"/>
        <v>0.15489914065002114</v>
      </c>
    </row>
    <row r="234" spans="1:15" x14ac:dyDescent="0.25">
      <c r="A234">
        <v>1</v>
      </c>
      <c r="B234">
        <v>0</v>
      </c>
      <c r="C234">
        <v>0</v>
      </c>
      <c r="D234">
        <v>1</v>
      </c>
      <c r="E234">
        <v>0</v>
      </c>
      <c r="F234">
        <v>1</v>
      </c>
      <c r="G234">
        <v>0</v>
      </c>
      <c r="H234">
        <v>1</v>
      </c>
      <c r="I234">
        <v>0</v>
      </c>
      <c r="J234">
        <v>2</v>
      </c>
      <c r="K234">
        <v>11.61</v>
      </c>
      <c r="L234">
        <v>3.39</v>
      </c>
      <c r="M234">
        <f t="shared" si="9"/>
        <v>2.0988961112916202</v>
      </c>
      <c r="N234">
        <f t="shared" si="10"/>
        <v>1.2911038887083799</v>
      </c>
      <c r="O234">
        <f t="shared" si="11"/>
        <v>1.6669492514379005</v>
      </c>
    </row>
    <row r="235" spans="1:15" x14ac:dyDescent="0.25">
      <c r="A235">
        <v>1</v>
      </c>
      <c r="B235">
        <v>0</v>
      </c>
      <c r="C235">
        <v>0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</v>
      </c>
      <c r="J235">
        <v>2</v>
      </c>
      <c r="K235">
        <v>10.77</v>
      </c>
      <c r="L235">
        <v>1.47</v>
      </c>
      <c r="M235">
        <f t="shared" si="9"/>
        <v>2.0195270262610787</v>
      </c>
      <c r="N235">
        <f t="shared" si="10"/>
        <v>-0.54952702626107874</v>
      </c>
      <c r="O235">
        <f t="shared" si="11"/>
        <v>0.3019799525913443</v>
      </c>
    </row>
    <row r="236" spans="1:15" x14ac:dyDescent="0.25">
      <c r="A236">
        <v>1</v>
      </c>
      <c r="B236">
        <v>0</v>
      </c>
      <c r="C236">
        <v>1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</v>
      </c>
      <c r="J236">
        <v>2</v>
      </c>
      <c r="K236">
        <v>15.53</v>
      </c>
      <c r="L236">
        <v>3</v>
      </c>
      <c r="M236">
        <f t="shared" si="9"/>
        <v>2.4153177949345102</v>
      </c>
      <c r="N236">
        <f t="shared" si="10"/>
        <v>0.58468220506548985</v>
      </c>
      <c r="O236">
        <f t="shared" si="11"/>
        <v>0.34185328092024353</v>
      </c>
    </row>
    <row r="237" spans="1:15" x14ac:dyDescent="0.25">
      <c r="A237">
        <v>1</v>
      </c>
      <c r="B237">
        <v>0</v>
      </c>
      <c r="C237">
        <v>0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</v>
      </c>
      <c r="J237">
        <v>2</v>
      </c>
      <c r="K237">
        <v>10.07</v>
      </c>
      <c r="L237">
        <v>1.25</v>
      </c>
      <c r="M237">
        <f t="shared" si="9"/>
        <v>1.9533861220689615</v>
      </c>
      <c r="N237">
        <f t="shared" si="10"/>
        <v>-0.70338612206896145</v>
      </c>
      <c r="O237">
        <f t="shared" si="11"/>
        <v>0.49475203671921192</v>
      </c>
    </row>
    <row r="238" spans="1:15" x14ac:dyDescent="0.25">
      <c r="A238">
        <v>1</v>
      </c>
      <c r="B238">
        <v>0</v>
      </c>
      <c r="C238">
        <v>1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</v>
      </c>
      <c r="J238">
        <v>2</v>
      </c>
      <c r="K238">
        <v>12.6</v>
      </c>
      <c r="L238">
        <v>1</v>
      </c>
      <c r="M238">
        <f t="shared" si="9"/>
        <v>2.1384708673875039</v>
      </c>
      <c r="N238">
        <f t="shared" si="10"/>
        <v>-1.1384708673875039</v>
      </c>
      <c r="O238">
        <f t="shared" si="11"/>
        <v>1.2961159158900555</v>
      </c>
    </row>
    <row r="239" spans="1:15" x14ac:dyDescent="0.25">
      <c r="A239">
        <v>1</v>
      </c>
      <c r="B239">
        <v>0</v>
      </c>
      <c r="C239">
        <v>1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</v>
      </c>
      <c r="J239">
        <v>2</v>
      </c>
      <c r="K239">
        <v>32.83</v>
      </c>
      <c r="L239">
        <v>1.17</v>
      </c>
      <c r="M239">
        <f t="shared" si="9"/>
        <v>4.0499429985397004</v>
      </c>
      <c r="N239">
        <f t="shared" si="10"/>
        <v>-2.8799429985397005</v>
      </c>
      <c r="O239">
        <f t="shared" si="11"/>
        <v>8.2940716748378414</v>
      </c>
    </row>
    <row r="240" spans="1:15" x14ac:dyDescent="0.25">
      <c r="A240">
        <v>0</v>
      </c>
      <c r="B240">
        <v>1</v>
      </c>
      <c r="C240">
        <v>0</v>
      </c>
      <c r="D240">
        <v>1</v>
      </c>
      <c r="E240">
        <v>0</v>
      </c>
      <c r="F240">
        <v>1</v>
      </c>
      <c r="G240">
        <v>0</v>
      </c>
      <c r="H240">
        <v>1</v>
      </c>
      <c r="I240">
        <v>0</v>
      </c>
      <c r="J240">
        <v>3</v>
      </c>
      <c r="K240">
        <v>35.83</v>
      </c>
      <c r="L240">
        <v>4.67</v>
      </c>
      <c r="M240">
        <f t="shared" si="9"/>
        <v>4.5633633990923963</v>
      </c>
      <c r="N240">
        <f t="shared" si="10"/>
        <v>0.10663660090760363</v>
      </c>
      <c r="O240">
        <f t="shared" si="11"/>
        <v>1.1371364653127531E-2</v>
      </c>
    </row>
    <row r="241" spans="1:15" x14ac:dyDescent="0.25">
      <c r="A241">
        <v>1</v>
      </c>
      <c r="B241">
        <v>0</v>
      </c>
      <c r="C241">
        <v>0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</v>
      </c>
      <c r="J241">
        <v>3</v>
      </c>
      <c r="K241">
        <v>29.03</v>
      </c>
      <c r="L241">
        <v>5.92</v>
      </c>
      <c r="M241">
        <f t="shared" si="9"/>
        <v>3.9208517583689684</v>
      </c>
      <c r="N241">
        <f t="shared" si="10"/>
        <v>1.9991482416310316</v>
      </c>
      <c r="O241">
        <f t="shared" si="11"/>
        <v>3.9965936920164453</v>
      </c>
    </row>
    <row r="242" spans="1:15" x14ac:dyDescent="0.25">
      <c r="A242">
        <v>0</v>
      </c>
      <c r="B242">
        <v>1</v>
      </c>
      <c r="C242">
        <v>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</v>
      </c>
      <c r="J242">
        <v>2</v>
      </c>
      <c r="K242">
        <v>27.18</v>
      </c>
      <c r="L242">
        <v>2</v>
      </c>
      <c r="M242">
        <f t="shared" si="9"/>
        <v>3.5160914147033235</v>
      </c>
      <c r="N242">
        <f t="shared" si="10"/>
        <v>-1.5160914147033235</v>
      </c>
      <c r="O242">
        <f t="shared" si="11"/>
        <v>2.298533177737125</v>
      </c>
    </row>
    <row r="243" spans="1:15" x14ac:dyDescent="0.25">
      <c r="A243">
        <v>1</v>
      </c>
      <c r="B243">
        <v>0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2</v>
      </c>
      <c r="K243">
        <v>22.67</v>
      </c>
      <c r="L243">
        <v>2</v>
      </c>
      <c r="M243">
        <f t="shared" si="9"/>
        <v>3.0899550176941091</v>
      </c>
      <c r="N243">
        <f t="shared" si="10"/>
        <v>-1.0899550176941091</v>
      </c>
      <c r="O243">
        <f t="shared" si="11"/>
        <v>1.1880019405965656</v>
      </c>
    </row>
    <row r="244" spans="1:15" x14ac:dyDescent="0.25">
      <c r="A244">
        <v>1</v>
      </c>
      <c r="B244">
        <v>0</v>
      </c>
      <c r="C244">
        <v>0</v>
      </c>
      <c r="D244">
        <v>1</v>
      </c>
      <c r="E244">
        <v>0</v>
      </c>
      <c r="F244">
        <v>1</v>
      </c>
      <c r="G244">
        <v>0</v>
      </c>
      <c r="H244">
        <v>1</v>
      </c>
      <c r="I244">
        <v>0</v>
      </c>
      <c r="J244">
        <v>2</v>
      </c>
      <c r="K244">
        <v>17.82</v>
      </c>
      <c r="L244">
        <v>1.75</v>
      </c>
      <c r="M244">
        <f t="shared" si="9"/>
        <v>2.6856604184816915</v>
      </c>
      <c r="N244">
        <f t="shared" si="10"/>
        <v>-0.93566041848169146</v>
      </c>
      <c r="O244">
        <f t="shared" si="11"/>
        <v>0.87546041871333402</v>
      </c>
    </row>
    <row r="245" spans="1:15" x14ac:dyDescent="0.25">
      <c r="A245">
        <v>0</v>
      </c>
      <c r="B245">
        <v>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2</v>
      </c>
      <c r="K245">
        <v>18.78</v>
      </c>
      <c r="L245">
        <v>3</v>
      </c>
      <c r="M245">
        <f t="shared" si="9"/>
        <v>2.7355671230285186</v>
      </c>
      <c r="N245">
        <f t="shared" si="10"/>
        <v>0.26443287697148143</v>
      </c>
      <c r="O245">
        <f t="shared" si="11"/>
        <v>6.9924746423414633E-2</v>
      </c>
    </row>
    <row r="247" spans="1:15" x14ac:dyDescent="0.25">
      <c r="K247" s="16" t="s">
        <v>54</v>
      </c>
      <c r="L247" s="21">
        <f>AVERAGE(L2:L245)</f>
        <v>2.9957613168724282</v>
      </c>
      <c r="N247" s="16" t="s">
        <v>53</v>
      </c>
      <c r="O247" s="24">
        <f>AVERAGE(O2:O245)</f>
        <v>1.069087558279604</v>
      </c>
    </row>
    <row r="248" spans="1:15" x14ac:dyDescent="0.25">
      <c r="O248" s="22"/>
    </row>
    <row r="249" spans="1:15" x14ac:dyDescent="0.25">
      <c r="N249" s="5" t="s">
        <v>145</v>
      </c>
      <c r="O249" s="23">
        <f>SQRT(O247)</f>
        <v>1.0339669038608557</v>
      </c>
    </row>
    <row r="251" spans="1:15" x14ac:dyDescent="0.25">
      <c r="M251" s="19" t="s">
        <v>52</v>
      </c>
      <c r="N251" s="19"/>
      <c r="O251" s="20">
        <f>O249/L247</f>
        <v>0.34514328562741309</v>
      </c>
    </row>
    <row r="259" spans="1:3" ht="31.5" x14ac:dyDescent="0.25">
      <c r="A259" s="7"/>
    </row>
    <row r="261" spans="1:3" x14ac:dyDescent="0.25">
      <c r="A261" s="14" t="s">
        <v>55</v>
      </c>
      <c r="B261" s="13"/>
      <c r="C261" s="13"/>
    </row>
    <row r="262" spans="1:3" x14ac:dyDescent="0.25">
      <c r="A262" s="14"/>
      <c r="B262" s="13"/>
      <c r="C262" s="13"/>
    </row>
    <row r="263" spans="1:3" x14ac:dyDescent="0.25">
      <c r="A263" s="14" t="s">
        <v>56</v>
      </c>
      <c r="B263" s="13"/>
      <c r="C263" s="13"/>
    </row>
    <row r="265" spans="1:3" ht="31.5" x14ac:dyDescent="0.25">
      <c r="A265" s="7"/>
    </row>
    <row r="267" spans="1:3" x14ac:dyDescent="0.25">
      <c r="A267" t="s">
        <v>57</v>
      </c>
    </row>
    <row r="268" spans="1:3" x14ac:dyDescent="0.25">
      <c r="A268" s="8"/>
    </row>
    <row r="269" spans="1:3" x14ac:dyDescent="0.25">
      <c r="A269" s="9" t="s">
        <v>96</v>
      </c>
    </row>
    <row r="270" spans="1:3" x14ac:dyDescent="0.25">
      <c r="A270" s="8"/>
    </row>
    <row r="271" spans="1:3" x14ac:dyDescent="0.25">
      <c r="A271" s="9" t="s">
        <v>97</v>
      </c>
    </row>
    <row r="272" spans="1:3" x14ac:dyDescent="0.25">
      <c r="A272" s="9"/>
    </row>
    <row r="273" spans="1:1" x14ac:dyDescent="0.25">
      <c r="A273" s="9" t="s">
        <v>98</v>
      </c>
    </row>
    <row r="274" spans="1:1" x14ac:dyDescent="0.25">
      <c r="A274" s="9"/>
    </row>
    <row r="275" spans="1:1" x14ac:dyDescent="0.25">
      <c r="A275" s="9" t="s">
        <v>99</v>
      </c>
    </row>
    <row r="276" spans="1:1" x14ac:dyDescent="0.25">
      <c r="A276" s="9"/>
    </row>
    <row r="277" spans="1:1" x14ac:dyDescent="0.25">
      <c r="A277" s="9" t="s">
        <v>100</v>
      </c>
    </row>
    <row r="278" spans="1:1" x14ac:dyDescent="0.25">
      <c r="A278" s="9"/>
    </row>
    <row r="279" spans="1:1" x14ac:dyDescent="0.25">
      <c r="A279" s="9" t="s">
        <v>101</v>
      </c>
    </row>
    <row r="280" spans="1:1" x14ac:dyDescent="0.25">
      <c r="A280" s="9"/>
    </row>
    <row r="281" spans="1:1" x14ac:dyDescent="0.25">
      <c r="A281" s="9" t="s">
        <v>102</v>
      </c>
    </row>
    <row r="283" spans="1:1" x14ac:dyDescent="0.25">
      <c r="A283" t="s">
        <v>58</v>
      </c>
    </row>
    <row r="285" spans="1:1" ht="18" x14ac:dyDescent="0.25">
      <c r="A285" s="10" t="s">
        <v>59</v>
      </c>
    </row>
    <row r="287" spans="1:1" x14ac:dyDescent="0.25">
      <c r="A287" t="s">
        <v>60</v>
      </c>
    </row>
    <row r="290" spans="1:1" ht="31.5" x14ac:dyDescent="0.25">
      <c r="A290" s="7"/>
    </row>
    <row r="292" spans="1:1" ht="18" x14ac:dyDescent="0.25">
      <c r="A292" s="10" t="s">
        <v>146</v>
      </c>
    </row>
    <row r="293" spans="1:1" x14ac:dyDescent="0.25">
      <c r="A293" s="8"/>
    </row>
    <row r="294" spans="1:1" x14ac:dyDescent="0.25">
      <c r="A294" s="9" t="s">
        <v>103</v>
      </c>
    </row>
    <row r="296" spans="1:1" ht="18" x14ac:dyDescent="0.25">
      <c r="A296" s="10" t="s">
        <v>147</v>
      </c>
    </row>
    <row r="297" spans="1:1" x14ac:dyDescent="0.25">
      <c r="A297" s="8"/>
    </row>
    <row r="298" spans="1:1" x14ac:dyDescent="0.25">
      <c r="A298" s="8" t="s">
        <v>104</v>
      </c>
    </row>
    <row r="299" spans="1:1" x14ac:dyDescent="0.25">
      <c r="A299" s="8"/>
    </row>
    <row r="300" spans="1:1" x14ac:dyDescent="0.25">
      <c r="A300" s="8" t="s">
        <v>105</v>
      </c>
    </row>
    <row r="301" spans="1:1" x14ac:dyDescent="0.25">
      <c r="A301" s="8"/>
    </row>
    <row r="302" spans="1:1" x14ac:dyDescent="0.25">
      <c r="A302" s="8" t="s">
        <v>106</v>
      </c>
    </row>
    <row r="303" spans="1:1" x14ac:dyDescent="0.25">
      <c r="A303" s="8"/>
    </row>
    <row r="304" spans="1:1" x14ac:dyDescent="0.25">
      <c r="A304" s="8" t="s">
        <v>107</v>
      </c>
    </row>
    <row r="305" spans="1:1" x14ac:dyDescent="0.25">
      <c r="A305" s="8"/>
    </row>
    <row r="306" spans="1:1" x14ac:dyDescent="0.25">
      <c r="A306" s="8" t="s">
        <v>108</v>
      </c>
    </row>
    <row r="307" spans="1:1" x14ac:dyDescent="0.25">
      <c r="A307" s="8"/>
    </row>
    <row r="308" spans="1:1" x14ac:dyDescent="0.25">
      <c r="A308" s="8" t="s">
        <v>109</v>
      </c>
    </row>
    <row r="310" spans="1:1" x14ac:dyDescent="0.25">
      <c r="A310" t="s">
        <v>61</v>
      </c>
    </row>
    <row r="312" spans="1:1" ht="31.5" x14ac:dyDescent="0.25">
      <c r="A312" s="7"/>
    </row>
    <row r="314" spans="1:1" x14ac:dyDescent="0.25">
      <c r="A314" t="s">
        <v>80</v>
      </c>
    </row>
    <row r="316" spans="1:1" ht="18" x14ac:dyDescent="0.25">
      <c r="A316" s="10" t="s">
        <v>81</v>
      </c>
    </row>
    <row r="318" spans="1:1" x14ac:dyDescent="0.25">
      <c r="A318" t="s">
        <v>82</v>
      </c>
    </row>
    <row r="319" spans="1:1" x14ac:dyDescent="0.25">
      <c r="A319" s="8"/>
    </row>
    <row r="320" spans="1:1" x14ac:dyDescent="0.25">
      <c r="A320" s="8" t="s">
        <v>83</v>
      </c>
    </row>
    <row r="321" spans="1:1" x14ac:dyDescent="0.25">
      <c r="A321" s="8"/>
    </row>
    <row r="322" spans="1:1" x14ac:dyDescent="0.25">
      <c r="A322" s="8" t="s">
        <v>84</v>
      </c>
    </row>
    <row r="323" spans="1:1" x14ac:dyDescent="0.25">
      <c r="A323" s="8"/>
    </row>
    <row r="324" spans="1:1" x14ac:dyDescent="0.25">
      <c r="A324" s="8" t="s">
        <v>85</v>
      </c>
    </row>
    <row r="326" spans="1:1" x14ac:dyDescent="0.25">
      <c r="A326" t="s">
        <v>144</v>
      </c>
    </row>
    <row r="327" spans="1:1" x14ac:dyDescent="0.25">
      <c r="A327" s="8"/>
    </row>
    <row r="328" spans="1:1" x14ac:dyDescent="0.25">
      <c r="A328" s="8" t="s">
        <v>110</v>
      </c>
    </row>
    <row r="329" spans="1:1" x14ac:dyDescent="0.25">
      <c r="A329" s="8"/>
    </row>
    <row r="330" spans="1:1" x14ac:dyDescent="0.25">
      <c r="A330" s="8" t="s">
        <v>111</v>
      </c>
    </row>
    <row r="331" spans="1:1" x14ac:dyDescent="0.25">
      <c r="A331" s="8"/>
    </row>
    <row r="332" spans="1:1" x14ac:dyDescent="0.25">
      <c r="A332" s="8" t="s">
        <v>112</v>
      </c>
    </row>
    <row r="333" spans="1:1" x14ac:dyDescent="0.25">
      <c r="A333" s="8"/>
    </row>
    <row r="334" spans="1:1" x14ac:dyDescent="0.25">
      <c r="A334" s="8" t="s">
        <v>113</v>
      </c>
    </row>
    <row r="335" spans="1:1" x14ac:dyDescent="0.25">
      <c r="A335" s="8"/>
    </row>
    <row r="336" spans="1:1" x14ac:dyDescent="0.25">
      <c r="A336" s="8" t="s">
        <v>114</v>
      </c>
    </row>
    <row r="338" spans="1:1" x14ac:dyDescent="0.25">
      <c r="A338" t="s">
        <v>86</v>
      </c>
    </row>
    <row r="341" spans="1:1" ht="31.5" x14ac:dyDescent="0.25">
      <c r="A341" s="7"/>
    </row>
    <row r="343" spans="1:1" x14ac:dyDescent="0.25">
      <c r="A343" t="s">
        <v>148</v>
      </c>
    </row>
    <row r="345" spans="1:1" x14ac:dyDescent="0.25">
      <c r="A345" t="s">
        <v>62</v>
      </c>
    </row>
    <row r="346" spans="1:1" x14ac:dyDescent="0.25">
      <c r="A346" s="8"/>
    </row>
    <row r="347" spans="1:1" x14ac:dyDescent="0.25">
      <c r="A347" s="8" t="s">
        <v>115</v>
      </c>
    </row>
    <row r="348" spans="1:1" x14ac:dyDescent="0.25">
      <c r="A348" s="8"/>
    </row>
    <row r="349" spans="1:1" x14ac:dyDescent="0.25">
      <c r="A349" s="8" t="s">
        <v>116</v>
      </c>
    </row>
    <row r="350" spans="1:1" x14ac:dyDescent="0.25">
      <c r="A350" s="8"/>
    </row>
    <row r="351" spans="1:1" x14ac:dyDescent="0.25">
      <c r="A351" s="8" t="s">
        <v>117</v>
      </c>
    </row>
    <row r="352" spans="1:1" x14ac:dyDescent="0.25">
      <c r="A352" s="8"/>
    </row>
    <row r="353" spans="1:1" x14ac:dyDescent="0.25">
      <c r="A353" s="8" t="s">
        <v>118</v>
      </c>
    </row>
    <row r="355" spans="1:1" x14ac:dyDescent="0.25">
      <c r="A355" t="s">
        <v>63</v>
      </c>
    </row>
    <row r="357" spans="1:1" ht="31.5" x14ac:dyDescent="0.25">
      <c r="A357" s="7"/>
    </row>
    <row r="359" spans="1:1" x14ac:dyDescent="0.25">
      <c r="A359" t="s">
        <v>122</v>
      </c>
    </row>
    <row r="361" spans="1:1" ht="18" x14ac:dyDescent="0.25">
      <c r="A361" s="10" t="s">
        <v>87</v>
      </c>
    </row>
    <row r="362" spans="1:1" x14ac:dyDescent="0.25">
      <c r="A362" s="8"/>
    </row>
    <row r="363" spans="1:1" x14ac:dyDescent="0.25">
      <c r="A363" s="9" t="s">
        <v>64</v>
      </c>
    </row>
    <row r="364" spans="1:1" x14ac:dyDescent="0.25">
      <c r="A364" s="8"/>
    </row>
    <row r="365" spans="1:1" x14ac:dyDescent="0.25">
      <c r="A365" s="28" t="s">
        <v>119</v>
      </c>
    </row>
    <row r="366" spans="1:1" x14ac:dyDescent="0.25">
      <c r="A366" s="8"/>
    </row>
    <row r="367" spans="1:1" x14ac:dyDescent="0.25">
      <c r="A367" s="9" t="s">
        <v>120</v>
      </c>
    </row>
    <row r="368" spans="1:1" x14ac:dyDescent="0.25">
      <c r="A368" s="8"/>
    </row>
    <row r="369" spans="1:3" x14ac:dyDescent="0.25">
      <c r="A369" s="25" t="s">
        <v>149</v>
      </c>
      <c r="B369" s="5"/>
      <c r="C369" s="5"/>
    </row>
    <row r="370" spans="1:3" x14ac:dyDescent="0.25">
      <c r="A370" s="8"/>
    </row>
    <row r="371" spans="1:3" x14ac:dyDescent="0.25">
      <c r="A371" s="9" t="s">
        <v>121</v>
      </c>
    </row>
    <row r="373" spans="1:3" ht="18" x14ac:dyDescent="0.25">
      <c r="A373" s="10" t="s">
        <v>65</v>
      </c>
    </row>
    <row r="374" spans="1:3" x14ac:dyDescent="0.25">
      <c r="A374" s="8"/>
    </row>
    <row r="375" spans="1:3" x14ac:dyDescent="0.25">
      <c r="A375" s="8" t="s">
        <v>95</v>
      </c>
    </row>
    <row r="376" spans="1:3" x14ac:dyDescent="0.25">
      <c r="A376" s="8"/>
    </row>
    <row r="377" spans="1:3" x14ac:dyDescent="0.25">
      <c r="A377" s="8" t="s">
        <v>94</v>
      </c>
    </row>
    <row r="378" spans="1:3" x14ac:dyDescent="0.25">
      <c r="A378" s="8"/>
    </row>
    <row r="379" spans="1:3" x14ac:dyDescent="0.25">
      <c r="A379" s="8" t="s">
        <v>88</v>
      </c>
    </row>
    <row r="380" spans="1:3" x14ac:dyDescent="0.25">
      <c r="A380" s="8"/>
    </row>
    <row r="381" spans="1:3" x14ac:dyDescent="0.25">
      <c r="A381" s="8" t="s">
        <v>89</v>
      </c>
    </row>
    <row r="382" spans="1:3" x14ac:dyDescent="0.25">
      <c r="A382" s="8"/>
    </row>
    <row r="383" spans="1:3" ht="31.5" x14ac:dyDescent="0.25">
      <c r="A383" s="7"/>
    </row>
    <row r="385" spans="1:3" x14ac:dyDescent="0.25">
      <c r="A385" t="s">
        <v>123</v>
      </c>
    </row>
    <row r="386" spans="1:3" x14ac:dyDescent="0.25">
      <c r="A386" s="8"/>
    </row>
    <row r="387" spans="1:3" x14ac:dyDescent="0.25">
      <c r="A387" s="15" t="s">
        <v>124</v>
      </c>
      <c r="B387" s="16"/>
      <c r="C387" s="16"/>
    </row>
    <row r="388" spans="1:3" x14ac:dyDescent="0.25">
      <c r="A388" s="17"/>
      <c r="B388" s="16"/>
      <c r="C388" s="16"/>
    </row>
    <row r="389" spans="1:3" x14ac:dyDescent="0.25">
      <c r="A389" s="15" t="s">
        <v>125</v>
      </c>
      <c r="B389" s="16"/>
      <c r="C389" s="16"/>
    </row>
    <row r="390" spans="1:3" x14ac:dyDescent="0.25">
      <c r="A390" s="17"/>
      <c r="B390" s="16"/>
      <c r="C390" s="16"/>
    </row>
    <row r="391" spans="1:3" x14ac:dyDescent="0.25">
      <c r="A391" s="15" t="s">
        <v>126</v>
      </c>
      <c r="B391" s="16"/>
      <c r="C391" s="16"/>
    </row>
    <row r="392" spans="1:3" x14ac:dyDescent="0.25">
      <c r="A392" s="17"/>
      <c r="B392" s="16"/>
      <c r="C392" s="16"/>
    </row>
    <row r="393" spans="1:3" x14ac:dyDescent="0.25">
      <c r="A393" s="15" t="s">
        <v>127</v>
      </c>
      <c r="B393" s="16"/>
      <c r="C393" s="16"/>
    </row>
    <row r="395" spans="1:3" x14ac:dyDescent="0.25">
      <c r="A395" t="s">
        <v>128</v>
      </c>
    </row>
    <row r="396" spans="1:3" x14ac:dyDescent="0.25">
      <c r="A396" s="8"/>
    </row>
    <row r="397" spans="1:3" x14ac:dyDescent="0.25">
      <c r="A397" s="8" t="s">
        <v>90</v>
      </c>
    </row>
    <row r="398" spans="1:3" x14ac:dyDescent="0.25">
      <c r="A398" s="8"/>
    </row>
    <row r="399" spans="1:3" x14ac:dyDescent="0.25">
      <c r="A399" s="8" t="s">
        <v>91</v>
      </c>
    </row>
    <row r="400" spans="1:3" x14ac:dyDescent="0.25">
      <c r="A400" s="8"/>
    </row>
    <row r="401" spans="1:2" x14ac:dyDescent="0.25">
      <c r="A401" s="8" t="s">
        <v>92</v>
      </c>
    </row>
    <row r="404" spans="1:2" x14ac:dyDescent="0.25">
      <c r="A404" s="8"/>
    </row>
    <row r="405" spans="1:2" x14ac:dyDescent="0.25">
      <c r="A405" s="8"/>
    </row>
    <row r="406" spans="1:2" ht="31.5" x14ac:dyDescent="0.25">
      <c r="A406" s="7"/>
    </row>
    <row r="408" spans="1:2" x14ac:dyDescent="0.25">
      <c r="A408" s="5" t="s">
        <v>93</v>
      </c>
      <c r="B408" s="5"/>
    </row>
    <row r="410" spans="1:2" ht="18" x14ac:dyDescent="0.25">
      <c r="A410" s="10" t="s">
        <v>65</v>
      </c>
    </row>
    <row r="411" spans="1:2" x14ac:dyDescent="0.25">
      <c r="A411" s="8"/>
    </row>
    <row r="412" spans="1:2" x14ac:dyDescent="0.25">
      <c r="A412" s="11" t="s">
        <v>76</v>
      </c>
    </row>
    <row r="414" spans="1:2" x14ac:dyDescent="0.25">
      <c r="A414" t="s">
        <v>77</v>
      </c>
    </row>
    <row r="416" spans="1:2" x14ac:dyDescent="0.25">
      <c r="A416" s="8"/>
    </row>
    <row r="418" spans="1:3" ht="31.5" x14ac:dyDescent="0.25">
      <c r="A418" s="7"/>
    </row>
    <row r="420" spans="1:3" x14ac:dyDescent="0.25">
      <c r="A420" t="s">
        <v>129</v>
      </c>
    </row>
    <row r="422" spans="1:3" ht="18" x14ac:dyDescent="0.25">
      <c r="A422" s="18" t="s">
        <v>66</v>
      </c>
      <c r="B422" s="19"/>
      <c r="C422" s="19"/>
    </row>
    <row r="424" spans="1:3" ht="18" x14ac:dyDescent="0.25">
      <c r="A424" s="10" t="s">
        <v>67</v>
      </c>
    </row>
    <row r="425" spans="1:3" x14ac:dyDescent="0.25">
      <c r="A425" s="8"/>
    </row>
    <row r="426" spans="1:3" x14ac:dyDescent="0.25">
      <c r="A426" s="11" t="s">
        <v>68</v>
      </c>
    </row>
    <row r="428" spans="1:3" ht="18" x14ac:dyDescent="0.25">
      <c r="A428" s="10" t="s">
        <v>69</v>
      </c>
    </row>
    <row r="430" spans="1:3" x14ac:dyDescent="0.25">
      <c r="A430" t="s">
        <v>70</v>
      </c>
    </row>
    <row r="432" spans="1:3" ht="18" x14ac:dyDescent="0.25">
      <c r="A432" s="10" t="s">
        <v>71</v>
      </c>
    </row>
    <row r="434" spans="1:1" x14ac:dyDescent="0.25">
      <c r="A434" t="s">
        <v>72</v>
      </c>
    </row>
    <row r="436" spans="1:1" x14ac:dyDescent="0.25">
      <c r="A436" t="s">
        <v>73</v>
      </c>
    </row>
    <row r="437" spans="1:1" x14ac:dyDescent="0.25">
      <c r="A437" s="8"/>
    </row>
    <row r="438" spans="1:1" x14ac:dyDescent="0.25">
      <c r="A438" s="8" t="s">
        <v>130</v>
      </c>
    </row>
    <row r="439" spans="1:1" x14ac:dyDescent="0.25">
      <c r="A439" s="8"/>
    </row>
    <row r="440" spans="1:1" x14ac:dyDescent="0.25">
      <c r="A440" s="8" t="s">
        <v>131</v>
      </c>
    </row>
    <row r="441" spans="1:1" x14ac:dyDescent="0.25">
      <c r="A441" s="8"/>
    </row>
    <row r="442" spans="1:1" x14ac:dyDescent="0.25">
      <c r="A442" s="8" t="s">
        <v>132</v>
      </c>
    </row>
    <row r="443" spans="1:1" x14ac:dyDescent="0.25">
      <c r="A443" s="8"/>
    </row>
    <row r="444" spans="1:1" x14ac:dyDescent="0.25">
      <c r="A444" s="8" t="s">
        <v>133</v>
      </c>
    </row>
    <row r="445" spans="1:1" x14ac:dyDescent="0.25">
      <c r="A445" s="8"/>
    </row>
    <row r="446" spans="1:1" x14ac:dyDescent="0.25">
      <c r="A446" s="8" t="s">
        <v>134</v>
      </c>
    </row>
    <row r="448" spans="1:1" x14ac:dyDescent="0.25">
      <c r="A448" t="s">
        <v>74</v>
      </c>
    </row>
    <row r="450" spans="1:1" x14ac:dyDescent="0.25">
      <c r="A450" t="s">
        <v>75</v>
      </c>
    </row>
    <row r="454" spans="1:1" ht="31.5" x14ac:dyDescent="0.25">
      <c r="A454" s="7"/>
    </row>
    <row r="456" spans="1:1" x14ac:dyDescent="0.25">
      <c r="A456" t="s">
        <v>78</v>
      </c>
    </row>
    <row r="457" spans="1:1" x14ac:dyDescent="0.25">
      <c r="A457" s="8"/>
    </row>
    <row r="458" spans="1:1" x14ac:dyDescent="0.25">
      <c r="A458" s="6" t="s">
        <v>135</v>
      </c>
    </row>
    <row r="459" spans="1:1" x14ac:dyDescent="0.25">
      <c r="A459" s="6"/>
    </row>
    <row r="460" spans="1:1" x14ac:dyDescent="0.25">
      <c r="A460" s="6" t="s">
        <v>136</v>
      </c>
    </row>
    <row r="461" spans="1:1" x14ac:dyDescent="0.25">
      <c r="A461" s="6"/>
    </row>
    <row r="462" spans="1:1" x14ac:dyDescent="0.25">
      <c r="A462" s="6" t="s">
        <v>137</v>
      </c>
    </row>
    <row r="463" spans="1:1" x14ac:dyDescent="0.25">
      <c r="A463" s="6"/>
    </row>
    <row r="464" spans="1:1" x14ac:dyDescent="0.25">
      <c r="A464" s="6" t="s">
        <v>138</v>
      </c>
    </row>
    <row r="465" spans="1:1" x14ac:dyDescent="0.25">
      <c r="A465" s="6"/>
    </row>
    <row r="466" spans="1:1" x14ac:dyDescent="0.25">
      <c r="A466" s="6" t="s">
        <v>139</v>
      </c>
    </row>
    <row r="467" spans="1:1" x14ac:dyDescent="0.25">
      <c r="A467" s="6"/>
    </row>
    <row r="468" spans="1:1" x14ac:dyDescent="0.25">
      <c r="A468" s="6" t="s">
        <v>140</v>
      </c>
    </row>
    <row r="469" spans="1:1" x14ac:dyDescent="0.25">
      <c r="A469" s="6"/>
    </row>
    <row r="470" spans="1:1" x14ac:dyDescent="0.25">
      <c r="A470" s="6" t="s">
        <v>141</v>
      </c>
    </row>
    <row r="472" spans="1:1" x14ac:dyDescent="0.25">
      <c r="A472" t="s">
        <v>79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adnan usman</cp:lastModifiedBy>
  <cp:revision/>
  <dcterms:created xsi:type="dcterms:W3CDTF">2021-10-26T16:10:41Z</dcterms:created>
  <dcterms:modified xsi:type="dcterms:W3CDTF">2026-07-20T22:44:38Z</dcterms:modified>
  <cp:category/>
  <cp:contentStatus/>
</cp:coreProperties>
</file>